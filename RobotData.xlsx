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0.xml" ContentType="application/vnd.openxmlformats-officedocument.drawing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 Goodall\Documents\Robotics\Controls\robotics-2026\"/>
    </mc:Choice>
  </mc:AlternateContent>
  <xr:revisionPtr revIDLastSave="0" documentId="13_ncr:1_{FC3EF8B1-8F6D-4F51-9E8B-32313A6FC131}" xr6:coauthVersionLast="47" xr6:coauthVersionMax="47" xr10:uidLastSave="{00000000-0000-0000-0000-000000000000}"/>
  <bookViews>
    <workbookView xWindow="-120" yWindow="-120" windowWidth="29040" windowHeight="15720" firstSheet="4" activeTab="6" xr2:uid="{FC88B133-5631-431F-8B38-05BF9FDD5FAD}"/>
  </bookViews>
  <sheets>
    <sheet name="AngleFunction" sheetId="20" r:id="rId1"/>
    <sheet name="Function" sheetId="3" r:id="rId2"/>
    <sheet name="Std Dev" sheetId="23" r:id="rId3"/>
    <sheet name="Stat Calculator" sheetId="25" r:id="rId4"/>
    <sheet name="Interpolate" sheetId="26" r:id="rId5"/>
    <sheet name="Calibration" sheetId="21" r:id="rId6"/>
    <sheet name="Shooting" sheetId="22" r:id="rId7"/>
    <sheet name="ShootSpeed" sheetId="27" r:id="rId8"/>
    <sheet name="Data Summary" sheetId="28" r:id="rId9"/>
    <sheet name="Motor k" sheetId="29" r:id="rId10"/>
    <sheet name="DriveDist" sheetId="30" r:id="rId11"/>
  </sheets>
  <definedNames>
    <definedName name="_xlnm._FilterDatabase" localSheetId="5" hidden="1">Calibration!$A$24:$J$55</definedName>
    <definedName name="_xlnm._FilterDatabase" localSheetId="10" hidden="1">DriveDist!$A$15:$K$157</definedName>
    <definedName name="_xlnm._FilterDatabase" localSheetId="6" hidden="1">Shooting!$A$17:$H$17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2" l="1"/>
  <c r="N2" i="22"/>
  <c r="O2" i="22"/>
  <c r="P2" i="22"/>
  <c r="Q2" i="22"/>
  <c r="R2" i="22"/>
  <c r="S2" i="22"/>
  <c r="N3" i="22"/>
  <c r="O3" i="22"/>
  <c r="P3" i="22"/>
  <c r="Q3" i="22"/>
  <c r="R3" i="22"/>
  <c r="S3" i="22"/>
  <c r="J167" i="30"/>
  <c r="K167" i="30"/>
  <c r="J168" i="30"/>
  <c r="K168" i="30"/>
  <c r="J169" i="30"/>
  <c r="K169" i="30"/>
  <c r="J170" i="30"/>
  <c r="K170" i="30"/>
  <c r="J171" i="30"/>
  <c r="K171" i="30"/>
  <c r="J172" i="30"/>
  <c r="K172" i="30"/>
  <c r="J173" i="30"/>
  <c r="K173" i="30"/>
  <c r="J174" i="30"/>
  <c r="K174" i="30"/>
  <c r="J175" i="30"/>
  <c r="K175" i="30"/>
  <c r="J176" i="30"/>
  <c r="K176" i="30"/>
  <c r="C167" i="30"/>
  <c r="C168" i="30"/>
  <c r="C169" i="30"/>
  <c r="C170" i="30"/>
  <c r="C171" i="30"/>
  <c r="C172" i="30"/>
  <c r="C173" i="30"/>
  <c r="C174" i="30"/>
  <c r="C175" i="30"/>
  <c r="C176" i="30"/>
  <c r="I176" i="30"/>
  <c r="I175" i="30"/>
  <c r="I174" i="30"/>
  <c r="I173" i="30"/>
  <c r="I172" i="30"/>
  <c r="I171" i="30"/>
  <c r="I170" i="30"/>
  <c r="I169" i="30"/>
  <c r="I168" i="30"/>
  <c r="I167" i="30"/>
  <c r="I166" i="30"/>
  <c r="C166" i="30"/>
  <c r="I165" i="30"/>
  <c r="C165" i="30"/>
  <c r="I164" i="30"/>
  <c r="J164" i="30"/>
  <c r="K164" i="30"/>
  <c r="C164" i="30"/>
  <c r="J162" i="30"/>
  <c r="K162" i="30"/>
  <c r="J163" i="30"/>
  <c r="K163" i="30"/>
  <c r="C162" i="30"/>
  <c r="C163" i="30"/>
  <c r="I163" i="30"/>
  <c r="I162" i="30"/>
  <c r="I161" i="30"/>
  <c r="C161" i="30"/>
  <c r="J160" i="30"/>
  <c r="K160" i="30"/>
  <c r="C160" i="30"/>
  <c r="I160" i="30"/>
  <c r="I159" i="30"/>
  <c r="C159" i="30"/>
  <c r="I158" i="30"/>
  <c r="C158" i="30"/>
  <c r="C157" i="30"/>
  <c r="I157" i="30"/>
  <c r="K157" i="30" s="1"/>
  <c r="C156" i="30"/>
  <c r="I156" i="30"/>
  <c r="C155" i="30"/>
  <c r="I155" i="30"/>
  <c r="C153" i="30"/>
  <c r="C154" i="30"/>
  <c r="I154" i="30"/>
  <c r="I153" i="30"/>
  <c r="C151" i="30"/>
  <c r="C152" i="30"/>
  <c r="I152" i="30"/>
  <c r="I151" i="30"/>
  <c r="I150" i="30"/>
  <c r="C150" i="30"/>
  <c r="C147" i="30"/>
  <c r="C148" i="30"/>
  <c r="C149" i="30"/>
  <c r="I149" i="30"/>
  <c r="I148" i="30"/>
  <c r="I147" i="30"/>
  <c r="C145" i="30"/>
  <c r="C146" i="30"/>
  <c r="I146" i="30"/>
  <c r="I145" i="30"/>
  <c r="I144" i="30"/>
  <c r="C144" i="30"/>
  <c r="C140" i="30"/>
  <c r="C141" i="30"/>
  <c r="C142" i="30"/>
  <c r="C143" i="30"/>
  <c r="J140" i="30"/>
  <c r="I140" i="30"/>
  <c r="K140" i="30" s="1"/>
  <c r="I141" i="30"/>
  <c r="I142" i="30"/>
  <c r="I143" i="30"/>
  <c r="K136" i="30"/>
  <c r="K137" i="30"/>
  <c r="K138" i="30"/>
  <c r="I139" i="30"/>
  <c r="I135" i="30"/>
  <c r="C139" i="30"/>
  <c r="C135" i="30"/>
  <c r="C134" i="30"/>
  <c r="C127" i="30"/>
  <c r="C128" i="30"/>
  <c r="C129" i="30"/>
  <c r="C130" i="30"/>
  <c r="C131" i="30"/>
  <c r="C132" i="30"/>
  <c r="C133" i="30"/>
  <c r="C126" i="30"/>
  <c r="I127" i="30"/>
  <c r="I128" i="30"/>
  <c r="I129" i="30"/>
  <c r="K129" i="30" s="1"/>
  <c r="I130" i="30"/>
  <c r="I131" i="30"/>
  <c r="I132" i="30"/>
  <c r="I133" i="30"/>
  <c r="I134" i="30"/>
  <c r="I126" i="30"/>
  <c r="J138" i="30"/>
  <c r="J137" i="30"/>
  <c r="J136" i="30"/>
  <c r="J121" i="30"/>
  <c r="J122" i="30"/>
  <c r="J123" i="30"/>
  <c r="J124" i="30"/>
  <c r="J125" i="30"/>
  <c r="J120" i="30"/>
  <c r="J114" i="30"/>
  <c r="J115" i="30"/>
  <c r="J116" i="30"/>
  <c r="J117" i="30"/>
  <c r="J118" i="30"/>
  <c r="J119" i="30"/>
  <c r="J103" i="30"/>
  <c r="J104" i="30"/>
  <c r="J105" i="30"/>
  <c r="J106" i="30"/>
  <c r="J107" i="30"/>
  <c r="J108" i="30"/>
  <c r="J109" i="30"/>
  <c r="J110" i="30"/>
  <c r="J111" i="30"/>
  <c r="J112" i="30"/>
  <c r="J113" i="30"/>
  <c r="J98" i="30"/>
  <c r="J99" i="30"/>
  <c r="J100" i="30"/>
  <c r="J101" i="30"/>
  <c r="J102" i="30"/>
  <c r="J97" i="30"/>
  <c r="J96" i="30"/>
  <c r="J95" i="30"/>
  <c r="J94" i="30"/>
  <c r="J93" i="30"/>
  <c r="J90" i="30"/>
  <c r="J91" i="30"/>
  <c r="J92" i="30"/>
  <c r="J89" i="30"/>
  <c r="J84" i="30"/>
  <c r="J85" i="30"/>
  <c r="J86" i="30"/>
  <c r="J87" i="30"/>
  <c r="J88" i="30"/>
  <c r="J83" i="30"/>
  <c r="J77" i="30"/>
  <c r="J78" i="30"/>
  <c r="J79" i="30"/>
  <c r="J80" i="30"/>
  <c r="J81" i="30"/>
  <c r="J82" i="30"/>
  <c r="J76" i="30"/>
  <c r="F4" i="29"/>
  <c r="F5" i="29"/>
  <c r="F6" i="29"/>
  <c r="F7" i="29"/>
  <c r="F8" i="29"/>
  <c r="F9" i="29"/>
  <c r="F10" i="29"/>
  <c r="F11" i="29"/>
  <c r="F12" i="29"/>
  <c r="F3" i="29"/>
  <c r="E3" i="29"/>
  <c r="E4" i="29"/>
  <c r="E5" i="29"/>
  <c r="E6" i="29"/>
  <c r="E7" i="29"/>
  <c r="E8" i="29"/>
  <c r="E9" i="29"/>
  <c r="E10" i="29"/>
  <c r="E11" i="29"/>
  <c r="E12" i="29"/>
  <c r="J74" i="30"/>
  <c r="J75" i="30"/>
  <c r="J73" i="30"/>
  <c r="J68" i="30"/>
  <c r="J69" i="30"/>
  <c r="J70" i="30"/>
  <c r="J71" i="30"/>
  <c r="J72" i="30"/>
  <c r="J67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J61" i="30"/>
  <c r="J62" i="30"/>
  <c r="J63" i="30"/>
  <c r="J64" i="30"/>
  <c r="J65" i="30"/>
  <c r="J66" i="30"/>
  <c r="J48" i="30"/>
  <c r="J47" i="30"/>
  <c r="J35" i="30"/>
  <c r="J36" i="30"/>
  <c r="J37" i="30"/>
  <c r="J38" i="30"/>
  <c r="J39" i="30"/>
  <c r="J40" i="30"/>
  <c r="J41" i="30"/>
  <c r="J42" i="30"/>
  <c r="J43" i="30"/>
  <c r="J44" i="30"/>
  <c r="J45" i="30"/>
  <c r="J46" i="30"/>
  <c r="J34" i="30"/>
  <c r="J33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31" i="30"/>
  <c r="J32" i="30"/>
  <c r="J16" i="30"/>
  <c r="P4" i="28"/>
  <c r="Q4" i="28"/>
  <c r="R4" i="28"/>
  <c r="S4" i="28"/>
  <c r="T4" i="28"/>
  <c r="P5" i="28"/>
  <c r="Q5" i="28"/>
  <c r="R5" i="28"/>
  <c r="S5" i="28"/>
  <c r="T5" i="28"/>
  <c r="P6" i="28"/>
  <c r="Q6" i="28"/>
  <c r="R6" i="28"/>
  <c r="S6" i="28"/>
  <c r="T6" i="28"/>
  <c r="P7" i="28"/>
  <c r="Q7" i="28"/>
  <c r="R7" i="28"/>
  <c r="S7" i="28"/>
  <c r="T7" i="28"/>
  <c r="Q3" i="28"/>
  <c r="R3" i="28"/>
  <c r="S3" i="28"/>
  <c r="T3" i="28"/>
  <c r="P3" i="28"/>
  <c r="V16" i="28"/>
  <c r="H3" i="28"/>
  <c r="I3" i="28"/>
  <c r="J3" i="28"/>
  <c r="K3" i="28"/>
  <c r="L3" i="28"/>
  <c r="M3" i="28"/>
  <c r="N3" i="28"/>
  <c r="O3" i="28"/>
  <c r="G3" i="28"/>
  <c r="F3" i="28"/>
  <c r="G4" i="28"/>
  <c r="Q3" i="27"/>
  <c r="Q4" i="27"/>
  <c r="Q5" i="27"/>
  <c r="Q6" i="27"/>
  <c r="Q2" i="27"/>
  <c r="O3" i="27"/>
  <c r="P3" i="27"/>
  <c r="O4" i="27"/>
  <c r="P4" i="27"/>
  <c r="O5" i="27"/>
  <c r="P5" i="27"/>
  <c r="O6" i="27"/>
  <c r="P6" i="27"/>
  <c r="P2" i="27"/>
  <c r="O2" i="27"/>
  <c r="N3" i="27"/>
  <c r="N4" i="27"/>
  <c r="N5" i="27"/>
  <c r="N6" i="27"/>
  <c r="N2" i="27"/>
  <c r="K166" i="30" l="1"/>
  <c r="J166" i="30"/>
  <c r="J165" i="30"/>
  <c r="K165" i="30"/>
  <c r="J161" i="30"/>
  <c r="K161" i="30"/>
  <c r="J159" i="30"/>
  <c r="K159" i="30"/>
  <c r="J158" i="30"/>
  <c r="K158" i="30"/>
  <c r="K151" i="30"/>
  <c r="J151" i="30"/>
  <c r="J157" i="30"/>
  <c r="J153" i="30"/>
  <c r="K153" i="30"/>
  <c r="K149" i="30"/>
  <c r="J149" i="30"/>
  <c r="J148" i="30"/>
  <c r="K148" i="30"/>
  <c r="J147" i="30"/>
  <c r="K147" i="30"/>
  <c r="K139" i="30"/>
  <c r="J139" i="30"/>
  <c r="J156" i="30"/>
  <c r="K156" i="30"/>
  <c r="J155" i="30"/>
  <c r="K155" i="30"/>
  <c r="J154" i="30"/>
  <c r="K154" i="30"/>
  <c r="J152" i="30"/>
  <c r="K152" i="30"/>
  <c r="K150" i="30"/>
  <c r="J150" i="30"/>
  <c r="K145" i="30"/>
  <c r="J145" i="30"/>
  <c r="K146" i="30"/>
  <c r="J146" i="30"/>
  <c r="K144" i="30"/>
  <c r="J144" i="30"/>
  <c r="J142" i="30"/>
  <c r="K142" i="30"/>
  <c r="J143" i="30"/>
  <c r="K143" i="30"/>
  <c r="K141" i="30"/>
  <c r="J141" i="30"/>
  <c r="J129" i="30"/>
  <c r="J127" i="30"/>
  <c r="K127" i="30"/>
  <c r="J128" i="30"/>
  <c r="K128" i="30"/>
  <c r="J130" i="30"/>
  <c r="K130" i="30"/>
  <c r="J131" i="30"/>
  <c r="K131" i="30"/>
  <c r="J132" i="30"/>
  <c r="K132" i="30"/>
  <c r="J133" i="30"/>
  <c r="K133" i="30"/>
  <c r="J134" i="30"/>
  <c r="K134" i="30"/>
  <c r="J126" i="30"/>
  <c r="K126" i="30"/>
  <c r="K135" i="30"/>
  <c r="J135" i="30"/>
  <c r="F5" i="28"/>
  <c r="G5" i="28" s="1"/>
  <c r="F6" i="28"/>
  <c r="G6" i="28" s="1"/>
  <c r="F7" i="28"/>
  <c r="G7" i="28" s="1"/>
  <c r="F4" i="28"/>
  <c r="M2" i="27" a="1"/>
  <c r="M2" i="27" s="1"/>
  <c r="L2" i="27"/>
  <c r="M4" i="27" a="1"/>
  <c r="M4" i="27" s="1"/>
  <c r="M5" i="27" a="1"/>
  <c r="M5" i="27" s="1"/>
  <c r="M6" i="27" a="1"/>
  <c r="M6" i="27" s="1"/>
  <c r="M3" i="27" a="1"/>
  <c r="M3" i="27" s="1"/>
  <c r="L4" i="27"/>
  <c r="L5" i="27"/>
  <c r="L6" i="27"/>
  <c r="L3" i="27"/>
  <c r="K20" i="25"/>
  <c r="K13" i="25"/>
  <c r="M13" i="25" s="1"/>
  <c r="K5" i="25"/>
  <c r="C6" i="26"/>
  <c r="E27" i="25"/>
  <c r="E20" i="25"/>
  <c r="E13" i="25"/>
  <c r="E5" i="25"/>
  <c r="L29" i="23"/>
  <c r="D29" i="23"/>
  <c r="K28" i="23"/>
  <c r="D28" i="23"/>
  <c r="J28" i="23" s="1"/>
  <c r="L27" i="23"/>
  <c r="K27" i="23"/>
  <c r="I27" i="23"/>
  <c r="H27" i="23"/>
  <c r="G27" i="23"/>
  <c r="D27" i="23"/>
  <c r="J27" i="23" s="1"/>
  <c r="L26" i="23"/>
  <c r="K26" i="23"/>
  <c r="J26" i="23"/>
  <c r="H26" i="23"/>
  <c r="G26" i="23"/>
  <c r="F26" i="23"/>
  <c r="D26" i="23"/>
  <c r="I26" i="23" s="1"/>
  <c r="K25" i="23"/>
  <c r="G25" i="23"/>
  <c r="D25" i="23"/>
  <c r="J25" i="23" s="1"/>
  <c r="D24" i="23"/>
  <c r="K24" i="23" s="1"/>
  <c r="K7" i="28" l="1"/>
  <c r="L7" i="28"/>
  <c r="O7" i="28"/>
  <c r="O6" i="28"/>
  <c r="L6" i="28"/>
  <c r="M4" i="28"/>
  <c r="K6" i="28"/>
  <c r="I4" i="28"/>
  <c r="H7" i="28"/>
  <c r="H6" i="28"/>
  <c r="L5" i="28"/>
  <c r="H4" i="28"/>
  <c r="K5" i="28"/>
  <c r="O4" i="28"/>
  <c r="K4" i="28"/>
  <c r="N7" i="28"/>
  <c r="J7" i="28"/>
  <c r="N6" i="28"/>
  <c r="J6" i="28"/>
  <c r="N5" i="28"/>
  <c r="J5" i="28"/>
  <c r="L4" i="28"/>
  <c r="O5" i="28"/>
  <c r="N4" i="28"/>
  <c r="J4" i="28"/>
  <c r="M7" i="28"/>
  <c r="I7" i="28"/>
  <c r="M6" i="28"/>
  <c r="I6" i="28"/>
  <c r="M5" i="28"/>
  <c r="I5" i="28"/>
  <c r="H5" i="28"/>
  <c r="L13" i="25"/>
  <c r="H24" i="23"/>
  <c r="H25" i="23"/>
  <c r="L25" i="23"/>
  <c r="L28" i="23"/>
  <c r="L24" i="23"/>
  <c r="E24" i="23"/>
  <c r="I24" i="23"/>
  <c r="F24" i="23"/>
  <c r="J24" i="23"/>
  <c r="E25" i="23"/>
  <c r="I25" i="23"/>
  <c r="I28" i="23"/>
  <c r="G24" i="23"/>
  <c r="F25" i="23"/>
  <c r="H112" i="22" l="1"/>
  <c r="H111" i="22"/>
  <c r="H110" i="22"/>
  <c r="S4" i="22" s="1"/>
  <c r="H109" i="22"/>
  <c r="R4" i="22" s="1"/>
  <c r="H108" i="22"/>
  <c r="Q4" i="22" s="1"/>
  <c r="H107" i="22"/>
  <c r="P4" i="22" s="1"/>
  <c r="H106" i="22"/>
  <c r="O4" i="22" s="1"/>
  <c r="H105" i="22"/>
  <c r="N4" i="22" s="1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AB4" i="22" s="1" a="1"/>
  <c r="AB4" i="22" s="1"/>
  <c r="H85" i="22"/>
  <c r="AA4" i="22" s="1" a="1"/>
  <c r="AA4" i="22" s="1"/>
  <c r="H84" i="22"/>
  <c r="Z4" i="22" s="1" a="1"/>
  <c r="Z4" i="22" s="1"/>
  <c r="H83" i="22"/>
  <c r="Y4" i="22" s="1" a="1"/>
  <c r="Y4" i="22" s="1"/>
  <c r="H82" i="22"/>
  <c r="X4" i="22" s="1" a="1"/>
  <c r="X4" i="22" s="1"/>
  <c r="H81" i="22"/>
  <c r="W4" i="22" s="1" a="1"/>
  <c r="W4" i="22" s="1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X3" i="22" s="1" a="1"/>
  <c r="X3" i="22" s="1"/>
  <c r="H64" i="22"/>
  <c r="H63" i="22"/>
  <c r="H62" i="22"/>
  <c r="H61" i="22"/>
  <c r="H60" i="22"/>
  <c r="H59" i="22"/>
  <c r="H58" i="22"/>
  <c r="H57" i="22"/>
  <c r="H56" i="22"/>
  <c r="H55" i="22"/>
  <c r="AB3" i="22" s="1" a="1"/>
  <c r="AB3" i="22" s="1"/>
  <c r="H54" i="22"/>
  <c r="AA3" i="22" s="1" a="1"/>
  <c r="AA3" i="22" s="1"/>
  <c r="H53" i="22"/>
  <c r="Z3" i="22" s="1" a="1"/>
  <c r="Z3" i="22" s="1"/>
  <c r="H52" i="22"/>
  <c r="Y3" i="22" s="1" a="1"/>
  <c r="Y3" i="22" s="1"/>
  <c r="H51" i="22"/>
  <c r="W3" i="22" s="1" a="1"/>
  <c r="W3" i="22" s="1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W2" i="22" s="1" a="1"/>
  <c r="W2" i="22" s="1"/>
  <c r="H26" i="22"/>
  <c r="H25" i="22"/>
  <c r="H24" i="22"/>
  <c r="AB2" i="22" s="1" a="1"/>
  <c r="AB2" i="22" s="1"/>
  <c r="H23" i="22"/>
  <c r="AA2" i="22" s="1" a="1"/>
  <c r="AA2" i="22" s="1"/>
  <c r="H22" i="22"/>
  <c r="Z2" i="22" s="1" a="1"/>
  <c r="Z2" i="22" s="1"/>
  <c r="H21" i="22"/>
  <c r="Y2" i="22" s="1" a="1"/>
  <c r="Y2" i="22" s="1"/>
  <c r="H20" i="22"/>
  <c r="X2" i="22" s="1" a="1"/>
  <c r="X2" i="22" s="1"/>
  <c r="H19" i="22"/>
  <c r="H18" i="22"/>
  <c r="G54" i="21"/>
  <c r="F54" i="21"/>
  <c r="G53" i="21"/>
  <c r="F53" i="21"/>
  <c r="G52" i="21"/>
  <c r="F52" i="21"/>
  <c r="G51" i="21"/>
  <c r="F51" i="21"/>
  <c r="G50" i="21"/>
  <c r="F50" i="21"/>
  <c r="G49" i="21"/>
  <c r="F49" i="21"/>
  <c r="G48" i="21"/>
  <c r="F48" i="21"/>
  <c r="G47" i="21"/>
  <c r="F47" i="21"/>
  <c r="G46" i="21"/>
  <c r="F46" i="21"/>
  <c r="G45" i="21"/>
  <c r="F45" i="21"/>
  <c r="G44" i="21"/>
  <c r="F44" i="21"/>
  <c r="G43" i="21"/>
  <c r="F43" i="21"/>
  <c r="G42" i="21"/>
  <c r="F42" i="21"/>
  <c r="G41" i="21"/>
  <c r="F41" i="21"/>
  <c r="G40" i="21"/>
  <c r="F40" i="21"/>
  <c r="G39" i="21"/>
  <c r="F39" i="21"/>
  <c r="G38" i="21"/>
  <c r="F38" i="21"/>
  <c r="G37" i="21"/>
  <c r="F37" i="21"/>
  <c r="G36" i="21"/>
  <c r="F36" i="21"/>
  <c r="G35" i="21"/>
  <c r="F35" i="21"/>
  <c r="G34" i="21"/>
  <c r="F34" i="21"/>
  <c r="G33" i="21"/>
  <c r="F33" i="21"/>
  <c r="G32" i="21"/>
  <c r="F32" i="21"/>
  <c r="G31" i="21"/>
  <c r="F31" i="21"/>
  <c r="G30" i="21"/>
  <c r="F30" i="21"/>
  <c r="G29" i="21"/>
  <c r="F29" i="21"/>
  <c r="G28" i="21"/>
  <c r="F28" i="21"/>
  <c r="G27" i="21"/>
  <c r="F27" i="21"/>
  <c r="G26" i="21"/>
  <c r="F26" i="21"/>
  <c r="G25" i="21"/>
  <c r="F25" i="21"/>
  <c r="B9" i="20"/>
  <c r="B5" i="20"/>
  <c r="A20" i="20"/>
  <c r="A21" i="20" s="1"/>
  <c r="A22" i="20" s="1"/>
  <c r="B5" i="3"/>
  <c r="L4" i="22" l="1"/>
  <c r="U4" i="22" a="1"/>
  <c r="U4" i="22" s="1"/>
  <c r="M4" i="22"/>
  <c r="V4" i="22" a="1"/>
  <c r="V4" i="22" s="1"/>
  <c r="M3" i="22"/>
  <c r="V3" i="22" a="1"/>
  <c r="V3" i="22" s="1"/>
  <c r="L3" i="22"/>
  <c r="U3" i="22" a="1"/>
  <c r="U3" i="22" s="1"/>
  <c r="L2" i="22"/>
  <c r="U2" i="22" a="1"/>
  <c r="U2" i="22" s="1"/>
  <c r="T2" i="22" a="1"/>
  <c r="T2" i="22" s="1"/>
  <c r="V2" i="22" a="1"/>
  <c r="V2" i="22" s="1"/>
  <c r="K2" i="22"/>
  <c r="M2" i="22"/>
  <c r="K3" i="22"/>
  <c r="T3" i="22" a="1"/>
  <c r="T3" i="22" s="1"/>
  <c r="T4" i="22" a="1"/>
  <c r="T4" i="22" s="1"/>
  <c r="C20" i="20"/>
  <c r="D21" i="20" s="1"/>
  <c r="B8" i="20"/>
  <c r="B6" i="20"/>
  <c r="B10" i="20"/>
  <c r="B11" i="20" s="1"/>
  <c r="B13" i="20" s="1"/>
  <c r="A23" i="20"/>
  <c r="AC2" i="22" l="1"/>
  <c r="AC3" i="22"/>
  <c r="AC4" i="22"/>
  <c r="B12" i="20"/>
  <c r="B14" i="20"/>
  <c r="A24" i="20"/>
  <c r="B15" i="20" l="1"/>
  <c r="B21" i="20" s="1"/>
  <c r="C21" i="20" s="1"/>
  <c r="D22" i="20" s="1"/>
  <c r="A25" i="20"/>
  <c r="B10" i="3"/>
  <c r="B6" i="3"/>
  <c r="B8" i="3"/>
  <c r="C20" i="3"/>
  <c r="D21" i="3" s="1"/>
  <c r="B9" i="3"/>
  <c r="B22" i="20" l="1"/>
  <c r="B23" i="20" s="1"/>
  <c r="A26" i="20"/>
  <c r="B11" i="3"/>
  <c r="C22" i="20" l="1"/>
  <c r="D23" i="20" s="1"/>
  <c r="A27" i="20"/>
  <c r="C23" i="20"/>
  <c r="B24" i="20"/>
  <c r="B12" i="3"/>
  <c r="B13" i="3"/>
  <c r="B14" i="3"/>
  <c r="A20" i="3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D24" i="20" l="1"/>
  <c r="C24" i="20"/>
  <c r="B25" i="20"/>
  <c r="A28" i="20"/>
  <c r="B21" i="3"/>
  <c r="C21" i="3" s="1"/>
  <c r="D22" i="3" s="1"/>
  <c r="B15" i="3"/>
  <c r="D25" i="20" l="1"/>
  <c r="A29" i="20"/>
  <c r="C25" i="20"/>
  <c r="B26" i="20"/>
  <c r="B22" i="3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D26" i="20" l="1"/>
  <c r="C26" i="20"/>
  <c r="B27" i="20"/>
  <c r="A30" i="20"/>
  <c r="C22" i="3"/>
  <c r="D23" i="3" s="1"/>
  <c r="D27" i="20" l="1"/>
  <c r="C27" i="20"/>
  <c r="B28" i="20"/>
  <c r="A31" i="20"/>
  <c r="C23" i="3"/>
  <c r="D24" i="3" s="1"/>
  <c r="D28" i="20" l="1"/>
  <c r="C28" i="20"/>
  <c r="B29" i="20"/>
  <c r="A32" i="20"/>
  <c r="C24" i="3"/>
  <c r="D25" i="3" s="1"/>
  <c r="D29" i="20" l="1"/>
  <c r="C29" i="20"/>
  <c r="B30" i="20"/>
  <c r="A33" i="20"/>
  <c r="C25" i="3"/>
  <c r="D26" i="3" s="1"/>
  <c r="D30" i="20" l="1"/>
  <c r="C30" i="20"/>
  <c r="B31" i="20"/>
  <c r="A34" i="20"/>
  <c r="C26" i="3"/>
  <c r="D27" i="3" s="1"/>
  <c r="D31" i="20" l="1"/>
  <c r="C31" i="20"/>
  <c r="B32" i="20"/>
  <c r="A35" i="20"/>
  <c r="C27" i="3"/>
  <c r="D28" i="3" s="1"/>
  <c r="D32" i="20" l="1"/>
  <c r="C32" i="20"/>
  <c r="B33" i="20"/>
  <c r="A36" i="20"/>
  <c r="C28" i="3"/>
  <c r="D29" i="3" s="1"/>
  <c r="D33" i="20" l="1"/>
  <c r="C33" i="20"/>
  <c r="B34" i="20"/>
  <c r="A37" i="20"/>
  <c r="C29" i="3"/>
  <c r="D30" i="3" s="1"/>
  <c r="D34" i="20" l="1"/>
  <c r="C34" i="20"/>
  <c r="B35" i="20"/>
  <c r="A38" i="20"/>
  <c r="C30" i="3"/>
  <c r="D31" i="3" s="1"/>
  <c r="D35" i="20" l="1"/>
  <c r="C35" i="20"/>
  <c r="B36" i="20"/>
  <c r="A39" i="20"/>
  <c r="C31" i="3"/>
  <c r="D32" i="3" s="1"/>
  <c r="D36" i="20" l="1"/>
  <c r="C36" i="20"/>
  <c r="B37" i="20"/>
  <c r="A40" i="20"/>
  <c r="C32" i="3"/>
  <c r="D33" i="3" s="1"/>
  <c r="D37" i="20" l="1"/>
  <c r="C37" i="20"/>
  <c r="B38" i="20"/>
  <c r="A41" i="20"/>
  <c r="C33" i="3"/>
  <c r="D34" i="3" s="1"/>
  <c r="D38" i="20" l="1"/>
  <c r="C38" i="20"/>
  <c r="B39" i="20"/>
  <c r="A42" i="20"/>
  <c r="C34" i="3"/>
  <c r="D35" i="3" s="1"/>
  <c r="D39" i="20" l="1"/>
  <c r="C39" i="20"/>
  <c r="B40" i="20"/>
  <c r="A43" i="20"/>
  <c r="C35" i="3"/>
  <c r="D36" i="3" s="1"/>
  <c r="D40" i="20" l="1"/>
  <c r="C40" i="20"/>
  <c r="B41" i="20"/>
  <c r="A44" i="20"/>
  <c r="C36" i="3"/>
  <c r="D37" i="3" s="1"/>
  <c r="D41" i="20" l="1"/>
  <c r="C41" i="20"/>
  <c r="B42" i="20"/>
  <c r="A45" i="20"/>
  <c r="C37" i="3"/>
  <c r="D38" i="3" s="1"/>
  <c r="D42" i="20" l="1"/>
  <c r="C42" i="20"/>
  <c r="B43" i="20"/>
  <c r="A46" i="20"/>
  <c r="C38" i="3"/>
  <c r="D39" i="3" s="1"/>
  <c r="D43" i="20" l="1"/>
  <c r="C43" i="20"/>
  <c r="B44" i="20"/>
  <c r="A47" i="20"/>
  <c r="C39" i="3"/>
  <c r="D40" i="3" s="1"/>
  <c r="D44" i="20" l="1"/>
  <c r="C44" i="20"/>
  <c r="B45" i="20"/>
  <c r="A48" i="20"/>
  <c r="C40" i="3"/>
  <c r="D41" i="3" s="1"/>
  <c r="D45" i="20" l="1"/>
  <c r="C45" i="20"/>
  <c r="B46" i="20"/>
  <c r="A49" i="20"/>
  <c r="C41" i="3"/>
  <c r="D42" i="3" s="1"/>
  <c r="D46" i="20" l="1"/>
  <c r="C46" i="20"/>
  <c r="B47" i="20"/>
  <c r="A50" i="20"/>
  <c r="C42" i="3"/>
  <c r="D43" i="3" s="1"/>
  <c r="D47" i="20" l="1"/>
  <c r="C47" i="20"/>
  <c r="B48" i="20"/>
  <c r="A51" i="20"/>
  <c r="C43" i="3"/>
  <c r="D44" i="3" s="1"/>
  <c r="D48" i="20" l="1"/>
  <c r="C48" i="20"/>
  <c r="B49" i="20"/>
  <c r="A52" i="20"/>
  <c r="C44" i="3"/>
  <c r="D45" i="3" s="1"/>
  <c r="D49" i="20" l="1"/>
  <c r="C49" i="20"/>
  <c r="B50" i="20"/>
  <c r="A53" i="20"/>
  <c r="C45" i="3"/>
  <c r="D46" i="3" s="1"/>
  <c r="D50" i="20" l="1"/>
  <c r="C50" i="20"/>
  <c r="B51" i="20"/>
  <c r="A54" i="20"/>
  <c r="C46" i="3"/>
  <c r="D47" i="3" s="1"/>
  <c r="D51" i="20" l="1"/>
  <c r="C51" i="20"/>
  <c r="B52" i="20"/>
  <c r="A55" i="20"/>
  <c r="C47" i="3"/>
  <c r="D48" i="3" s="1"/>
  <c r="D52" i="20" l="1"/>
  <c r="C52" i="20"/>
  <c r="B53" i="20"/>
  <c r="A56" i="20"/>
  <c r="C48" i="3"/>
  <c r="D49" i="3" s="1"/>
  <c r="D53" i="20" l="1"/>
  <c r="C53" i="20"/>
  <c r="B54" i="20"/>
  <c r="A57" i="20"/>
  <c r="C49" i="3"/>
  <c r="D50" i="3" s="1"/>
  <c r="D54" i="20" l="1"/>
  <c r="C54" i="20"/>
  <c r="B55" i="20"/>
  <c r="A58" i="20"/>
  <c r="C50" i="3"/>
  <c r="D51" i="3" s="1"/>
  <c r="D55" i="20" l="1"/>
  <c r="C55" i="20"/>
  <c r="B56" i="20"/>
  <c r="A59" i="20"/>
  <c r="C51" i="3"/>
  <c r="D52" i="3" s="1"/>
  <c r="D56" i="20" l="1"/>
  <c r="C56" i="20"/>
  <c r="B57" i="20"/>
  <c r="A60" i="20"/>
  <c r="C52" i="3"/>
  <c r="D53" i="3" s="1"/>
  <c r="D57" i="20" l="1"/>
  <c r="C57" i="20"/>
  <c r="B58" i="20"/>
  <c r="A61" i="20"/>
  <c r="C53" i="3"/>
  <c r="D54" i="3" s="1"/>
  <c r="D58" i="20" l="1"/>
  <c r="C58" i="20"/>
  <c r="B59" i="20"/>
  <c r="A62" i="20"/>
  <c r="C54" i="3"/>
  <c r="D55" i="3" s="1"/>
  <c r="D59" i="20" l="1"/>
  <c r="C59" i="20"/>
  <c r="B60" i="20"/>
  <c r="A63" i="20"/>
  <c r="C55" i="3"/>
  <c r="D56" i="3" s="1"/>
  <c r="D60" i="20" l="1"/>
  <c r="C60" i="20"/>
  <c r="B61" i="20"/>
  <c r="A64" i="20"/>
  <c r="C56" i="3"/>
  <c r="D57" i="3" s="1"/>
  <c r="D61" i="20" l="1"/>
  <c r="C61" i="20"/>
  <c r="B62" i="20"/>
  <c r="A65" i="20"/>
  <c r="C57" i="3"/>
  <c r="D58" i="3" s="1"/>
  <c r="D62" i="20" l="1"/>
  <c r="C62" i="20"/>
  <c r="B63" i="20"/>
  <c r="A66" i="20"/>
  <c r="C58" i="3"/>
  <c r="D59" i="3" s="1"/>
  <c r="D63" i="20" l="1"/>
  <c r="C63" i="20"/>
  <c r="B64" i="20"/>
  <c r="A67" i="20"/>
  <c r="C59" i="3"/>
  <c r="D60" i="3" s="1"/>
  <c r="D64" i="20" l="1"/>
  <c r="C64" i="20"/>
  <c r="B65" i="20"/>
  <c r="A68" i="20"/>
  <c r="C60" i="3"/>
  <c r="D61" i="3" s="1"/>
  <c r="D65" i="20" l="1"/>
  <c r="C65" i="20"/>
  <c r="B66" i="20"/>
  <c r="A69" i="20"/>
  <c r="C61" i="3"/>
  <c r="D62" i="3" s="1"/>
  <c r="D66" i="20" l="1"/>
  <c r="C66" i="20"/>
  <c r="B67" i="20"/>
  <c r="A70" i="20"/>
  <c r="C62" i="3"/>
  <c r="D63" i="3" s="1"/>
  <c r="D67" i="20" l="1"/>
  <c r="C67" i="20"/>
  <c r="B68" i="20"/>
  <c r="A71" i="20"/>
  <c r="C63" i="3"/>
  <c r="D64" i="3" s="1"/>
  <c r="D68" i="20" l="1"/>
  <c r="C68" i="20"/>
  <c r="B69" i="20"/>
  <c r="A72" i="20"/>
  <c r="C64" i="3"/>
  <c r="D65" i="3" s="1"/>
  <c r="D69" i="20" l="1"/>
  <c r="C69" i="20"/>
  <c r="B70" i="20"/>
  <c r="A73" i="20"/>
  <c r="C65" i="3"/>
  <c r="D66" i="3" s="1"/>
  <c r="D70" i="20" l="1"/>
  <c r="C70" i="20"/>
  <c r="B71" i="20"/>
  <c r="A74" i="20"/>
  <c r="C66" i="3"/>
  <c r="D67" i="3" s="1"/>
  <c r="D71" i="20" l="1"/>
  <c r="C71" i="20"/>
  <c r="B72" i="20"/>
  <c r="A75" i="20"/>
  <c r="C67" i="3"/>
  <c r="D68" i="3" s="1"/>
  <c r="D72" i="20" l="1"/>
  <c r="C72" i="20"/>
  <c r="B73" i="20"/>
  <c r="A76" i="20"/>
  <c r="C68" i="3"/>
  <c r="D69" i="3" s="1"/>
  <c r="D73" i="20" l="1"/>
  <c r="C73" i="20"/>
  <c r="B74" i="20"/>
  <c r="A77" i="20"/>
  <c r="C69" i="3"/>
  <c r="D70" i="3" s="1"/>
  <c r="D74" i="20" l="1"/>
  <c r="C74" i="20"/>
  <c r="B75" i="20"/>
  <c r="A78" i="20"/>
  <c r="C70" i="3"/>
  <c r="D71" i="3" s="1"/>
  <c r="D75" i="20" l="1"/>
  <c r="C75" i="20"/>
  <c r="B76" i="20"/>
  <c r="A79" i="20"/>
  <c r="C71" i="3"/>
  <c r="D72" i="3" s="1"/>
  <c r="D76" i="20" l="1"/>
  <c r="C76" i="20"/>
  <c r="B77" i="20"/>
  <c r="A80" i="20"/>
  <c r="C72" i="3"/>
  <c r="D73" i="3" s="1"/>
  <c r="D77" i="20" l="1"/>
  <c r="C77" i="20"/>
  <c r="B78" i="20"/>
  <c r="A81" i="20"/>
  <c r="C73" i="3"/>
  <c r="D74" i="3" s="1"/>
  <c r="D78" i="20" l="1"/>
  <c r="C78" i="20"/>
  <c r="B79" i="20"/>
  <c r="A82" i="20"/>
  <c r="C74" i="3"/>
  <c r="D75" i="3" s="1"/>
  <c r="D79" i="20" l="1"/>
  <c r="C79" i="20"/>
  <c r="B80" i="20"/>
  <c r="A83" i="20"/>
  <c r="C75" i="3"/>
  <c r="D76" i="3" s="1"/>
  <c r="D80" i="20" l="1"/>
  <c r="C80" i="20"/>
  <c r="B81" i="20"/>
  <c r="A84" i="20"/>
  <c r="C76" i="3"/>
  <c r="D77" i="3" s="1"/>
  <c r="D81" i="20" l="1"/>
  <c r="C81" i="20"/>
  <c r="B82" i="20"/>
  <c r="A85" i="20"/>
  <c r="C77" i="3"/>
  <c r="D78" i="3" s="1"/>
  <c r="D82" i="20" l="1"/>
  <c r="C82" i="20"/>
  <c r="B83" i="20"/>
  <c r="A86" i="20"/>
  <c r="C78" i="3"/>
  <c r="D79" i="3" s="1"/>
  <c r="D83" i="20" l="1"/>
  <c r="C83" i="20"/>
  <c r="B84" i="20"/>
  <c r="A87" i="20"/>
  <c r="C79" i="3"/>
  <c r="D80" i="3" s="1"/>
  <c r="D84" i="20" l="1"/>
  <c r="C84" i="20"/>
  <c r="B85" i="20"/>
  <c r="A88" i="20"/>
  <c r="C80" i="3"/>
  <c r="D81" i="3" s="1"/>
  <c r="D85" i="20" l="1"/>
  <c r="C85" i="20"/>
  <c r="B86" i="20"/>
  <c r="A89" i="20"/>
  <c r="C81" i="3"/>
  <c r="D82" i="3" s="1"/>
  <c r="D86" i="20" l="1"/>
  <c r="C86" i="20"/>
  <c r="B87" i="20"/>
  <c r="A90" i="20"/>
  <c r="C82" i="3"/>
  <c r="D83" i="3" s="1"/>
  <c r="D87" i="20" l="1"/>
  <c r="C87" i="20"/>
  <c r="B88" i="20"/>
  <c r="A91" i="20"/>
  <c r="C83" i="3"/>
  <c r="D84" i="3" s="1"/>
  <c r="D88" i="20" l="1"/>
  <c r="C88" i="20"/>
  <c r="B89" i="20"/>
  <c r="A92" i="20"/>
  <c r="C84" i="3"/>
  <c r="D85" i="3" s="1"/>
  <c r="D89" i="20" l="1"/>
  <c r="C89" i="20"/>
  <c r="B90" i="20"/>
  <c r="A93" i="20"/>
  <c r="C85" i="3"/>
  <c r="D86" i="3" s="1"/>
  <c r="D90" i="20" l="1"/>
  <c r="C90" i="20"/>
  <c r="B91" i="20"/>
  <c r="A94" i="20"/>
  <c r="C86" i="3"/>
  <c r="D87" i="3" s="1"/>
  <c r="D91" i="20" l="1"/>
  <c r="C91" i="20"/>
  <c r="B92" i="20"/>
  <c r="A95" i="20"/>
  <c r="C87" i="3"/>
  <c r="D88" i="3" s="1"/>
  <c r="D92" i="20" l="1"/>
  <c r="C92" i="20"/>
  <c r="B93" i="20"/>
  <c r="A96" i="20"/>
  <c r="C88" i="3"/>
  <c r="D89" i="3" s="1"/>
  <c r="D93" i="20" l="1"/>
  <c r="C93" i="20"/>
  <c r="B94" i="20"/>
  <c r="A97" i="20"/>
  <c r="C89" i="3"/>
  <c r="D90" i="3" s="1"/>
  <c r="D94" i="20" l="1"/>
  <c r="C94" i="20"/>
  <c r="B95" i="20"/>
  <c r="A98" i="20"/>
  <c r="C90" i="3"/>
  <c r="D91" i="3" s="1"/>
  <c r="D95" i="20" l="1"/>
  <c r="C95" i="20"/>
  <c r="B96" i="20"/>
  <c r="A99" i="20"/>
  <c r="C91" i="3"/>
  <c r="D92" i="3" s="1"/>
  <c r="D96" i="20" l="1"/>
  <c r="C96" i="20"/>
  <c r="B97" i="20"/>
  <c r="A100" i="20"/>
  <c r="C92" i="3"/>
  <c r="D93" i="3" s="1"/>
  <c r="D97" i="20" l="1"/>
  <c r="C97" i="20"/>
  <c r="B98" i="20"/>
  <c r="A101" i="20"/>
  <c r="C93" i="3"/>
  <c r="D94" i="3" s="1"/>
  <c r="D98" i="20" l="1"/>
  <c r="C98" i="20"/>
  <c r="B99" i="20"/>
  <c r="A102" i="20"/>
  <c r="C94" i="3"/>
  <c r="D95" i="3" s="1"/>
  <c r="D99" i="20" l="1"/>
  <c r="C99" i="20"/>
  <c r="B100" i="20"/>
  <c r="A103" i="20"/>
  <c r="C95" i="3"/>
  <c r="D96" i="3" s="1"/>
  <c r="D100" i="20" l="1"/>
  <c r="C100" i="20"/>
  <c r="B101" i="20"/>
  <c r="A104" i="20"/>
  <c r="C96" i="3"/>
  <c r="D97" i="3" s="1"/>
  <c r="D101" i="20" l="1"/>
  <c r="C101" i="20"/>
  <c r="B102" i="20"/>
  <c r="A105" i="20"/>
  <c r="C97" i="3"/>
  <c r="D98" i="3" s="1"/>
  <c r="D102" i="20" l="1"/>
  <c r="C102" i="20"/>
  <c r="D103" i="20" s="1"/>
  <c r="B103" i="20"/>
  <c r="A106" i="20"/>
  <c r="C98" i="3"/>
  <c r="D99" i="3" s="1"/>
  <c r="C103" i="20" l="1"/>
  <c r="D104" i="20" s="1"/>
  <c r="B104" i="20"/>
  <c r="A107" i="20"/>
  <c r="C99" i="3"/>
  <c r="D100" i="3" s="1"/>
  <c r="C104" i="20" l="1"/>
  <c r="D105" i="20" s="1"/>
  <c r="B105" i="20"/>
  <c r="A108" i="20"/>
  <c r="C100" i="3"/>
  <c r="D101" i="3" s="1"/>
  <c r="C105" i="20" l="1"/>
  <c r="D106" i="20" s="1"/>
  <c r="B106" i="20"/>
  <c r="A109" i="20"/>
  <c r="C101" i="3"/>
  <c r="D102" i="3" s="1"/>
  <c r="C106" i="20" l="1"/>
  <c r="D107" i="20" s="1"/>
  <c r="B107" i="20"/>
  <c r="A110" i="20"/>
  <c r="C102" i="3"/>
  <c r="D103" i="3" s="1"/>
  <c r="C107" i="20" l="1"/>
  <c r="D108" i="20" s="1"/>
  <c r="B108" i="20"/>
  <c r="A111" i="20"/>
  <c r="C103" i="3"/>
  <c r="D104" i="3" s="1"/>
  <c r="C108" i="20" l="1"/>
  <c r="D109" i="20" s="1"/>
  <c r="B109" i="20"/>
  <c r="A112" i="20"/>
  <c r="C104" i="3"/>
  <c r="D105" i="3" s="1"/>
  <c r="C109" i="20" l="1"/>
  <c r="D110" i="20" s="1"/>
  <c r="B110" i="20"/>
  <c r="A113" i="20"/>
  <c r="C105" i="3"/>
  <c r="D106" i="3" s="1"/>
  <c r="C110" i="20" l="1"/>
  <c r="D111" i="20" s="1"/>
  <c r="B111" i="20"/>
  <c r="A114" i="20"/>
  <c r="C106" i="3"/>
  <c r="D107" i="3" s="1"/>
  <c r="C111" i="20" l="1"/>
  <c r="D112" i="20" s="1"/>
  <c r="B112" i="20"/>
  <c r="A115" i="20"/>
  <c r="C107" i="3"/>
  <c r="D108" i="3" s="1"/>
  <c r="C112" i="20" l="1"/>
  <c r="D113" i="20" s="1"/>
  <c r="B113" i="20"/>
  <c r="A116" i="20"/>
  <c r="C108" i="3"/>
  <c r="D109" i="3" s="1"/>
  <c r="C113" i="20" l="1"/>
  <c r="D114" i="20" s="1"/>
  <c r="B114" i="20"/>
  <c r="A117" i="20"/>
  <c r="C109" i="3"/>
  <c r="D110" i="3" s="1"/>
  <c r="C114" i="20" l="1"/>
  <c r="D115" i="20" s="1"/>
  <c r="B115" i="20"/>
  <c r="A118" i="20"/>
  <c r="C110" i="3"/>
  <c r="D111" i="3" s="1"/>
  <c r="C115" i="20" l="1"/>
  <c r="D116" i="20" s="1"/>
  <c r="B116" i="20"/>
  <c r="A119" i="20"/>
  <c r="C111" i="3"/>
  <c r="D112" i="3" s="1"/>
  <c r="C116" i="20" l="1"/>
  <c r="D117" i="20" s="1"/>
  <c r="B117" i="20"/>
  <c r="A120" i="20"/>
  <c r="C112" i="3"/>
  <c r="D113" i="3" s="1"/>
  <c r="C117" i="20" l="1"/>
  <c r="D118" i="20" s="1"/>
  <c r="B118" i="20"/>
  <c r="A121" i="20"/>
  <c r="C113" i="3"/>
  <c r="D114" i="3" s="1"/>
  <c r="C118" i="20" l="1"/>
  <c r="D119" i="20" s="1"/>
  <c r="B119" i="20"/>
  <c r="A122" i="20"/>
  <c r="C114" i="3"/>
  <c r="D115" i="3" s="1"/>
  <c r="C119" i="20" l="1"/>
  <c r="D120" i="20" s="1"/>
  <c r="B120" i="20"/>
  <c r="A123" i="20"/>
  <c r="C115" i="3"/>
  <c r="D116" i="3" s="1"/>
  <c r="C120" i="20" l="1"/>
  <c r="D121" i="20" s="1"/>
  <c r="B121" i="20"/>
  <c r="A124" i="20"/>
  <c r="C116" i="3"/>
  <c r="D117" i="3" s="1"/>
  <c r="C121" i="20" l="1"/>
  <c r="D122" i="20" s="1"/>
  <c r="B122" i="20"/>
  <c r="A125" i="20"/>
  <c r="C117" i="3"/>
  <c r="D118" i="3" s="1"/>
  <c r="C122" i="20" l="1"/>
  <c r="D123" i="20" s="1"/>
  <c r="B123" i="20"/>
  <c r="A126" i="20"/>
  <c r="C118" i="3"/>
  <c r="D119" i="3" s="1"/>
  <c r="C123" i="20" l="1"/>
  <c r="D124" i="20" s="1"/>
  <c r="B124" i="20"/>
  <c r="A127" i="20"/>
  <c r="C119" i="3"/>
  <c r="D120" i="3" s="1"/>
  <c r="C124" i="20" l="1"/>
  <c r="D125" i="20" s="1"/>
  <c r="B125" i="20"/>
  <c r="A128" i="20"/>
  <c r="C120" i="3"/>
  <c r="D121" i="3" s="1"/>
  <c r="C125" i="20" l="1"/>
  <c r="D126" i="20" s="1"/>
  <c r="B126" i="20"/>
  <c r="A129" i="20"/>
  <c r="C121" i="3"/>
  <c r="D122" i="3" s="1"/>
  <c r="C126" i="20" l="1"/>
  <c r="D127" i="20" s="1"/>
  <c r="B127" i="20"/>
  <c r="A130" i="20"/>
  <c r="C122" i="3"/>
  <c r="D123" i="3" s="1"/>
  <c r="C127" i="20" l="1"/>
  <c r="D128" i="20" s="1"/>
  <c r="B128" i="20"/>
  <c r="A131" i="20"/>
  <c r="C123" i="3"/>
  <c r="D124" i="3" s="1"/>
  <c r="C128" i="20" l="1"/>
  <c r="D129" i="20" s="1"/>
  <c r="B129" i="20"/>
  <c r="A132" i="20"/>
  <c r="C124" i="3"/>
  <c r="D125" i="3" s="1"/>
  <c r="C129" i="20" l="1"/>
  <c r="D130" i="20" s="1"/>
  <c r="B130" i="20"/>
  <c r="A133" i="20"/>
  <c r="C125" i="3"/>
  <c r="D126" i="3" s="1"/>
  <c r="C130" i="20" l="1"/>
  <c r="D131" i="20" s="1"/>
  <c r="B131" i="20"/>
  <c r="A134" i="20"/>
  <c r="C126" i="3"/>
  <c r="D127" i="3" s="1"/>
  <c r="C131" i="20" l="1"/>
  <c r="D132" i="20" s="1"/>
  <c r="B132" i="20"/>
  <c r="A135" i="20"/>
  <c r="C127" i="3"/>
  <c r="D128" i="3" s="1"/>
  <c r="C132" i="20" l="1"/>
  <c r="D133" i="20" s="1"/>
  <c r="B133" i="20"/>
  <c r="A136" i="20"/>
  <c r="C128" i="3"/>
  <c r="D129" i="3" s="1"/>
  <c r="C133" i="20" l="1"/>
  <c r="D134" i="20" s="1"/>
  <c r="B134" i="20"/>
  <c r="A137" i="20"/>
  <c r="C129" i="3"/>
  <c r="D130" i="3" s="1"/>
  <c r="C134" i="20" l="1"/>
  <c r="D135" i="20" s="1"/>
  <c r="B135" i="20"/>
  <c r="A138" i="20"/>
  <c r="C130" i="3"/>
  <c r="D131" i="3" s="1"/>
  <c r="C135" i="20" l="1"/>
  <c r="D136" i="20" s="1"/>
  <c r="B136" i="20"/>
  <c r="A139" i="20"/>
  <c r="C131" i="3"/>
  <c r="D132" i="3" s="1"/>
  <c r="C136" i="20" l="1"/>
  <c r="D137" i="20" s="1"/>
  <c r="B137" i="20"/>
  <c r="A140" i="20"/>
  <c r="C132" i="3"/>
  <c r="D133" i="3" s="1"/>
  <c r="C137" i="20" l="1"/>
  <c r="D138" i="20" s="1"/>
  <c r="B138" i="20"/>
  <c r="A141" i="20"/>
  <c r="C133" i="3"/>
  <c r="D134" i="3" s="1"/>
  <c r="C138" i="20" l="1"/>
  <c r="D139" i="20" s="1"/>
  <c r="B139" i="20"/>
  <c r="A142" i="20"/>
  <c r="C134" i="3"/>
  <c r="D135" i="3" s="1"/>
  <c r="C139" i="20" l="1"/>
  <c r="D140" i="20" s="1"/>
  <c r="B140" i="20"/>
  <c r="A143" i="20"/>
  <c r="C135" i="3"/>
  <c r="D136" i="3" s="1"/>
  <c r="C140" i="20" l="1"/>
  <c r="D141" i="20" s="1"/>
  <c r="B141" i="20"/>
  <c r="A144" i="20"/>
  <c r="C136" i="3"/>
  <c r="D137" i="3" s="1"/>
  <c r="C141" i="20" l="1"/>
  <c r="D142" i="20" s="1"/>
  <c r="B142" i="20"/>
  <c r="A145" i="20"/>
  <c r="C137" i="3"/>
  <c r="D138" i="3" s="1"/>
  <c r="C142" i="20" l="1"/>
  <c r="D143" i="20" s="1"/>
  <c r="B143" i="20"/>
  <c r="A146" i="20"/>
  <c r="C138" i="3"/>
  <c r="D139" i="3" s="1"/>
  <c r="C143" i="20" l="1"/>
  <c r="D144" i="20" s="1"/>
  <c r="B144" i="20"/>
  <c r="A147" i="20"/>
  <c r="C139" i="3"/>
  <c r="D140" i="3" s="1"/>
  <c r="C144" i="20" l="1"/>
  <c r="D145" i="20" s="1"/>
  <c r="B145" i="20"/>
  <c r="A148" i="20"/>
  <c r="C140" i="3"/>
  <c r="D141" i="3" s="1"/>
  <c r="C145" i="20" l="1"/>
  <c r="D146" i="20" s="1"/>
  <c r="B146" i="20"/>
  <c r="A149" i="20"/>
  <c r="C141" i="3"/>
  <c r="D142" i="3" s="1"/>
  <c r="C146" i="20" l="1"/>
  <c r="D147" i="20" s="1"/>
  <c r="B147" i="20"/>
  <c r="A150" i="20"/>
  <c r="C142" i="3"/>
  <c r="D143" i="3" s="1"/>
  <c r="C147" i="20" l="1"/>
  <c r="D148" i="20" s="1"/>
  <c r="B148" i="20"/>
  <c r="A151" i="20"/>
  <c r="C143" i="3"/>
  <c r="D144" i="3" s="1"/>
  <c r="C148" i="20" l="1"/>
  <c r="D149" i="20" s="1"/>
  <c r="B149" i="20"/>
  <c r="A152" i="20"/>
  <c r="C144" i="3"/>
  <c r="D145" i="3" s="1"/>
  <c r="C149" i="20" l="1"/>
  <c r="D150" i="20" s="1"/>
  <c r="B150" i="20"/>
  <c r="A153" i="20"/>
  <c r="C145" i="3"/>
  <c r="D146" i="3" s="1"/>
  <c r="C150" i="20" l="1"/>
  <c r="D151" i="20" s="1"/>
  <c r="B151" i="20"/>
  <c r="A154" i="20"/>
  <c r="C146" i="3"/>
  <c r="D147" i="3" s="1"/>
  <c r="C151" i="20" l="1"/>
  <c r="D152" i="20" s="1"/>
  <c r="B152" i="20"/>
  <c r="A155" i="20"/>
  <c r="C147" i="3"/>
  <c r="D148" i="3" s="1"/>
  <c r="C152" i="20" l="1"/>
  <c r="D153" i="20" s="1"/>
  <c r="B153" i="20"/>
  <c r="A156" i="20"/>
  <c r="C148" i="3"/>
  <c r="D149" i="3" s="1"/>
  <c r="C153" i="20" l="1"/>
  <c r="D154" i="20" s="1"/>
  <c r="B154" i="20"/>
  <c r="A157" i="20"/>
  <c r="C149" i="3"/>
  <c r="D150" i="3" s="1"/>
  <c r="C154" i="20" l="1"/>
  <c r="D155" i="20" s="1"/>
  <c r="B155" i="20"/>
  <c r="A158" i="20"/>
  <c r="C150" i="3"/>
  <c r="D151" i="3" s="1"/>
  <c r="C155" i="20" l="1"/>
  <c r="D156" i="20" s="1"/>
  <c r="B156" i="20"/>
  <c r="A159" i="20"/>
  <c r="C151" i="3"/>
  <c r="D152" i="3" s="1"/>
  <c r="C156" i="20" l="1"/>
  <c r="D157" i="20" s="1"/>
  <c r="B157" i="20"/>
  <c r="A160" i="20"/>
  <c r="C152" i="3"/>
  <c r="D153" i="3" s="1"/>
  <c r="C157" i="20" l="1"/>
  <c r="D158" i="20" s="1"/>
  <c r="B158" i="20"/>
  <c r="A161" i="20"/>
  <c r="C153" i="3"/>
  <c r="D154" i="3" s="1"/>
  <c r="C158" i="20" l="1"/>
  <c r="D159" i="20" s="1"/>
  <c r="B159" i="20"/>
  <c r="A162" i="20"/>
  <c r="C154" i="3"/>
  <c r="D155" i="3" s="1"/>
  <c r="C159" i="20" l="1"/>
  <c r="D160" i="20" s="1"/>
  <c r="B160" i="20"/>
  <c r="A163" i="20"/>
  <c r="C155" i="3"/>
  <c r="D156" i="3" s="1"/>
  <c r="C160" i="20" l="1"/>
  <c r="D161" i="20" s="1"/>
  <c r="B161" i="20"/>
  <c r="A164" i="20"/>
  <c r="C156" i="3"/>
  <c r="D157" i="3" s="1"/>
  <c r="C161" i="20" l="1"/>
  <c r="D162" i="20" s="1"/>
  <c r="B162" i="20"/>
  <c r="A165" i="20"/>
  <c r="C157" i="3"/>
  <c r="D158" i="3" s="1"/>
  <c r="C162" i="20" l="1"/>
  <c r="D163" i="20" s="1"/>
  <c r="B163" i="20"/>
  <c r="A166" i="20"/>
  <c r="C158" i="3"/>
  <c r="D159" i="3" s="1"/>
  <c r="C163" i="20" l="1"/>
  <c r="D164" i="20" s="1"/>
  <c r="B164" i="20"/>
  <c r="A167" i="20"/>
  <c r="C159" i="3"/>
  <c r="D160" i="3" s="1"/>
  <c r="C164" i="20" l="1"/>
  <c r="D165" i="20" s="1"/>
  <c r="B165" i="20"/>
  <c r="A168" i="20"/>
  <c r="C160" i="3"/>
  <c r="D161" i="3" s="1"/>
  <c r="C165" i="20" l="1"/>
  <c r="D166" i="20" s="1"/>
  <c r="B166" i="20"/>
  <c r="A169" i="20"/>
  <c r="C161" i="3"/>
  <c r="D162" i="3" s="1"/>
  <c r="C166" i="20" l="1"/>
  <c r="D167" i="20" s="1"/>
  <c r="B167" i="20"/>
  <c r="A170" i="20"/>
  <c r="C162" i="3"/>
  <c r="D163" i="3" s="1"/>
  <c r="C167" i="20" l="1"/>
  <c r="D168" i="20" s="1"/>
  <c r="B168" i="20"/>
  <c r="A171" i="20"/>
  <c r="C163" i="3"/>
  <c r="D164" i="3" s="1"/>
  <c r="C168" i="20" l="1"/>
  <c r="D169" i="20" s="1"/>
  <c r="B169" i="20"/>
  <c r="A172" i="20"/>
  <c r="C164" i="3"/>
  <c r="D165" i="3" s="1"/>
  <c r="C169" i="20" l="1"/>
  <c r="D170" i="20" s="1"/>
  <c r="B170" i="20"/>
  <c r="A173" i="20"/>
  <c r="C165" i="3"/>
  <c r="D166" i="3" s="1"/>
  <c r="C170" i="20" l="1"/>
  <c r="D171" i="20" s="1"/>
  <c r="B171" i="20"/>
  <c r="A174" i="20"/>
  <c r="C166" i="3"/>
  <c r="D167" i="3" s="1"/>
  <c r="C171" i="20" l="1"/>
  <c r="D172" i="20" s="1"/>
  <c r="B172" i="20"/>
  <c r="A175" i="20"/>
  <c r="C167" i="3"/>
  <c r="D168" i="3" s="1"/>
  <c r="C172" i="20" l="1"/>
  <c r="D173" i="20" s="1"/>
  <c r="B173" i="20"/>
  <c r="A176" i="20"/>
  <c r="C168" i="3"/>
  <c r="D169" i="3" s="1"/>
  <c r="C173" i="20" l="1"/>
  <c r="D174" i="20" s="1"/>
  <c r="B174" i="20"/>
  <c r="A177" i="20"/>
  <c r="C169" i="3"/>
  <c r="D170" i="3" s="1"/>
  <c r="C174" i="20" l="1"/>
  <c r="D175" i="20" s="1"/>
  <c r="B175" i="20"/>
  <c r="A178" i="20"/>
  <c r="C170" i="3"/>
  <c r="D171" i="3" s="1"/>
  <c r="C175" i="20" l="1"/>
  <c r="D176" i="20" s="1"/>
  <c r="B176" i="20"/>
  <c r="A179" i="20"/>
  <c r="C171" i="3"/>
  <c r="D172" i="3" s="1"/>
  <c r="C176" i="20" l="1"/>
  <c r="D177" i="20" s="1"/>
  <c r="B177" i="20"/>
  <c r="A180" i="20"/>
  <c r="C172" i="3"/>
  <c r="D173" i="3" s="1"/>
  <c r="C177" i="20" l="1"/>
  <c r="D178" i="20" s="1"/>
  <c r="B178" i="20"/>
  <c r="A181" i="20"/>
  <c r="C173" i="3"/>
  <c r="D174" i="3" s="1"/>
  <c r="C178" i="20" l="1"/>
  <c r="D179" i="20" s="1"/>
  <c r="B179" i="20"/>
  <c r="A182" i="20"/>
  <c r="C174" i="3"/>
  <c r="D175" i="3" s="1"/>
  <c r="C179" i="20" l="1"/>
  <c r="D180" i="20" s="1"/>
  <c r="B180" i="20"/>
  <c r="A183" i="20"/>
  <c r="C175" i="3"/>
  <c r="D176" i="3" s="1"/>
  <c r="C180" i="20" l="1"/>
  <c r="D181" i="20" s="1"/>
  <c r="B181" i="20"/>
  <c r="A184" i="20"/>
  <c r="C176" i="3"/>
  <c r="D177" i="3" s="1"/>
  <c r="C181" i="20" l="1"/>
  <c r="D182" i="20" s="1"/>
  <c r="B182" i="20"/>
  <c r="A185" i="20"/>
  <c r="C177" i="3"/>
  <c r="D178" i="3" s="1"/>
  <c r="C182" i="20" l="1"/>
  <c r="D183" i="20" s="1"/>
  <c r="B183" i="20"/>
  <c r="A186" i="20"/>
  <c r="C178" i="3"/>
  <c r="D179" i="3" s="1"/>
  <c r="C183" i="20" l="1"/>
  <c r="D184" i="20" s="1"/>
  <c r="B184" i="20"/>
  <c r="A187" i="20"/>
  <c r="C179" i="3"/>
  <c r="D180" i="3" s="1"/>
  <c r="C184" i="20" l="1"/>
  <c r="D185" i="20" s="1"/>
  <c r="B185" i="20"/>
  <c r="A188" i="20"/>
  <c r="C180" i="3"/>
  <c r="D181" i="3" s="1"/>
  <c r="C185" i="20" l="1"/>
  <c r="D186" i="20" s="1"/>
  <c r="B186" i="20"/>
  <c r="A189" i="20"/>
  <c r="C181" i="3"/>
  <c r="D182" i="3" s="1"/>
  <c r="C186" i="20" l="1"/>
  <c r="D187" i="20" s="1"/>
  <c r="B187" i="20"/>
  <c r="A190" i="20"/>
  <c r="C182" i="3"/>
  <c r="D183" i="3" s="1"/>
  <c r="C187" i="20" l="1"/>
  <c r="D188" i="20" s="1"/>
  <c r="B188" i="20"/>
  <c r="A191" i="20"/>
  <c r="C183" i="3"/>
  <c r="D184" i="3" s="1"/>
  <c r="C188" i="20" l="1"/>
  <c r="D189" i="20" s="1"/>
  <c r="B189" i="20"/>
  <c r="A192" i="20"/>
  <c r="C184" i="3"/>
  <c r="D185" i="3" s="1"/>
  <c r="C189" i="20" l="1"/>
  <c r="D190" i="20" s="1"/>
  <c r="B190" i="20"/>
  <c r="A193" i="20"/>
  <c r="C185" i="3"/>
  <c r="D186" i="3" s="1"/>
  <c r="C190" i="20" l="1"/>
  <c r="D191" i="20" s="1"/>
  <c r="B191" i="20"/>
  <c r="A194" i="20"/>
  <c r="C186" i="3"/>
  <c r="D187" i="3" s="1"/>
  <c r="C191" i="20" l="1"/>
  <c r="D192" i="20" s="1"/>
  <c r="B192" i="20"/>
  <c r="A195" i="20"/>
  <c r="C187" i="3"/>
  <c r="D188" i="3" s="1"/>
  <c r="C192" i="20" l="1"/>
  <c r="D193" i="20" s="1"/>
  <c r="B193" i="20"/>
  <c r="A196" i="20"/>
  <c r="C188" i="3"/>
  <c r="D189" i="3" s="1"/>
  <c r="C193" i="20" l="1"/>
  <c r="D194" i="20" s="1"/>
  <c r="B194" i="20"/>
  <c r="A197" i="20"/>
  <c r="C189" i="3"/>
  <c r="D190" i="3" s="1"/>
  <c r="C194" i="20" l="1"/>
  <c r="D195" i="20" s="1"/>
  <c r="B195" i="20"/>
  <c r="A198" i="20"/>
  <c r="C190" i="3"/>
  <c r="D191" i="3" s="1"/>
  <c r="C195" i="20" l="1"/>
  <c r="D196" i="20" s="1"/>
  <c r="B196" i="20"/>
  <c r="A199" i="20"/>
  <c r="C191" i="3"/>
  <c r="D192" i="3" s="1"/>
  <c r="C196" i="20" l="1"/>
  <c r="D197" i="20" s="1"/>
  <c r="B197" i="20"/>
  <c r="A200" i="20"/>
  <c r="C192" i="3"/>
  <c r="D193" i="3" s="1"/>
  <c r="C197" i="20" l="1"/>
  <c r="D198" i="20" s="1"/>
  <c r="B198" i="20"/>
  <c r="A201" i="20"/>
  <c r="C193" i="3"/>
  <c r="D194" i="3" s="1"/>
  <c r="C198" i="20" l="1"/>
  <c r="D199" i="20" s="1"/>
  <c r="B199" i="20"/>
  <c r="A202" i="20"/>
  <c r="C194" i="3"/>
  <c r="D195" i="3" s="1"/>
  <c r="C199" i="20" l="1"/>
  <c r="D200" i="20" s="1"/>
  <c r="B200" i="20"/>
  <c r="A203" i="20"/>
  <c r="C195" i="3"/>
  <c r="D196" i="3" s="1"/>
  <c r="C200" i="20" l="1"/>
  <c r="D201" i="20" s="1"/>
  <c r="B201" i="20"/>
  <c r="A204" i="20"/>
  <c r="C196" i="3"/>
  <c r="D197" i="3" s="1"/>
  <c r="C201" i="20" l="1"/>
  <c r="D202" i="20" s="1"/>
  <c r="B202" i="20"/>
  <c r="A205" i="20"/>
  <c r="C197" i="3"/>
  <c r="D198" i="3" s="1"/>
  <c r="C202" i="20" l="1"/>
  <c r="D203" i="20" s="1"/>
  <c r="B203" i="20"/>
  <c r="A206" i="20"/>
  <c r="C198" i="3"/>
  <c r="D199" i="3" s="1"/>
  <c r="C203" i="20" l="1"/>
  <c r="D204" i="20" s="1"/>
  <c r="B204" i="20"/>
  <c r="A207" i="20"/>
  <c r="C199" i="3"/>
  <c r="D200" i="3" s="1"/>
  <c r="C204" i="20" l="1"/>
  <c r="D205" i="20" s="1"/>
  <c r="B205" i="20"/>
  <c r="A208" i="20"/>
  <c r="C200" i="3"/>
  <c r="D201" i="3" s="1"/>
  <c r="C205" i="20" l="1"/>
  <c r="D206" i="20" s="1"/>
  <c r="B206" i="20"/>
  <c r="A209" i="20"/>
  <c r="C201" i="3"/>
  <c r="D202" i="3" s="1"/>
  <c r="C206" i="20" l="1"/>
  <c r="D207" i="20" s="1"/>
  <c r="B207" i="20"/>
  <c r="A210" i="20"/>
  <c r="C202" i="3"/>
  <c r="D203" i="3" s="1"/>
  <c r="C207" i="20" l="1"/>
  <c r="D208" i="20" s="1"/>
  <c r="B208" i="20"/>
  <c r="A211" i="20"/>
  <c r="C203" i="3"/>
  <c r="D204" i="3" s="1"/>
  <c r="C208" i="20" l="1"/>
  <c r="D209" i="20" s="1"/>
  <c r="B209" i="20"/>
  <c r="A212" i="20"/>
  <c r="C204" i="3"/>
  <c r="D205" i="3" s="1"/>
  <c r="C209" i="20" l="1"/>
  <c r="D210" i="20" s="1"/>
  <c r="B210" i="20"/>
  <c r="A213" i="20"/>
  <c r="C205" i="3"/>
  <c r="D206" i="3" s="1"/>
  <c r="C210" i="20" l="1"/>
  <c r="D211" i="20" s="1"/>
  <c r="B211" i="20"/>
  <c r="A214" i="20"/>
  <c r="C206" i="3"/>
  <c r="D207" i="3" s="1"/>
  <c r="C211" i="20" l="1"/>
  <c r="D212" i="20" s="1"/>
  <c r="B212" i="20"/>
  <c r="A215" i="20"/>
  <c r="C207" i="3"/>
  <c r="D208" i="3" s="1"/>
  <c r="C212" i="20" l="1"/>
  <c r="D213" i="20" s="1"/>
  <c r="B213" i="20"/>
  <c r="A216" i="20"/>
  <c r="C208" i="3"/>
  <c r="D209" i="3" s="1"/>
  <c r="C213" i="20" l="1"/>
  <c r="D214" i="20" s="1"/>
  <c r="B214" i="20"/>
  <c r="A217" i="20"/>
  <c r="C209" i="3"/>
  <c r="D210" i="3" s="1"/>
  <c r="C214" i="20" l="1"/>
  <c r="D215" i="20" s="1"/>
  <c r="B215" i="20"/>
  <c r="A218" i="20"/>
  <c r="C210" i="3"/>
  <c r="D211" i="3" s="1"/>
  <c r="C215" i="20" l="1"/>
  <c r="D216" i="20" s="1"/>
  <c r="B216" i="20"/>
  <c r="A219" i="20"/>
  <c r="C211" i="3"/>
  <c r="D212" i="3" s="1"/>
  <c r="C216" i="20" l="1"/>
  <c r="D217" i="20" s="1"/>
  <c r="B217" i="20"/>
  <c r="A220" i="20"/>
  <c r="C212" i="3"/>
  <c r="D213" i="3" s="1"/>
  <c r="C217" i="20" l="1"/>
  <c r="D218" i="20" s="1"/>
  <c r="B218" i="20"/>
  <c r="A221" i="20"/>
  <c r="C213" i="3"/>
  <c r="D214" i="3" s="1"/>
  <c r="C218" i="20" l="1"/>
  <c r="D219" i="20" s="1"/>
  <c r="B219" i="20"/>
  <c r="A222" i="20"/>
  <c r="C214" i="3"/>
  <c r="D215" i="3" s="1"/>
  <c r="C219" i="20" l="1"/>
  <c r="D220" i="20" s="1"/>
  <c r="B220" i="20"/>
  <c r="A223" i="20"/>
  <c r="C215" i="3"/>
  <c r="D216" i="3" s="1"/>
  <c r="C220" i="20" l="1"/>
  <c r="D221" i="20" s="1"/>
  <c r="B221" i="20"/>
  <c r="A224" i="20"/>
  <c r="C216" i="3"/>
  <c r="D217" i="3" s="1"/>
  <c r="C221" i="20" l="1"/>
  <c r="D222" i="20" s="1"/>
  <c r="B222" i="20"/>
  <c r="A225" i="20"/>
  <c r="C217" i="3"/>
  <c r="D218" i="3" s="1"/>
  <c r="C222" i="20" l="1"/>
  <c r="D223" i="20" s="1"/>
  <c r="B223" i="20"/>
  <c r="A226" i="20"/>
  <c r="C218" i="3"/>
  <c r="D219" i="3" s="1"/>
  <c r="C223" i="20" l="1"/>
  <c r="D224" i="20" s="1"/>
  <c r="B224" i="20"/>
  <c r="A227" i="20"/>
  <c r="C219" i="3"/>
  <c r="D220" i="3" s="1"/>
  <c r="C224" i="20" l="1"/>
  <c r="D225" i="20" s="1"/>
  <c r="B225" i="20"/>
  <c r="A228" i="20"/>
  <c r="C220" i="3"/>
  <c r="D221" i="3" s="1"/>
  <c r="C225" i="20" l="1"/>
  <c r="D226" i="20" s="1"/>
  <c r="B226" i="20"/>
  <c r="A229" i="20"/>
  <c r="C221" i="3"/>
  <c r="D222" i="3" s="1"/>
  <c r="C226" i="20" l="1"/>
  <c r="D227" i="20" s="1"/>
  <c r="B227" i="20"/>
  <c r="A230" i="20"/>
  <c r="C222" i="3"/>
  <c r="D223" i="3" s="1"/>
  <c r="C227" i="20" l="1"/>
  <c r="D228" i="20" s="1"/>
  <c r="B228" i="20"/>
  <c r="A231" i="20"/>
  <c r="C223" i="3"/>
  <c r="D224" i="3" s="1"/>
  <c r="C228" i="20" l="1"/>
  <c r="D229" i="20" s="1"/>
  <c r="B229" i="20"/>
  <c r="A232" i="20"/>
  <c r="C224" i="3"/>
  <c r="D225" i="3" s="1"/>
  <c r="C229" i="20" l="1"/>
  <c r="D230" i="20" s="1"/>
  <c r="B230" i="20"/>
  <c r="A233" i="20"/>
  <c r="C225" i="3"/>
  <c r="D226" i="3" s="1"/>
  <c r="C230" i="20" l="1"/>
  <c r="D231" i="20" s="1"/>
  <c r="B231" i="20"/>
  <c r="A234" i="20"/>
  <c r="C226" i="3"/>
  <c r="D227" i="3" s="1"/>
  <c r="C231" i="20" l="1"/>
  <c r="D232" i="20" s="1"/>
  <c r="B232" i="20"/>
  <c r="A235" i="20"/>
  <c r="C227" i="3"/>
  <c r="D228" i="3" s="1"/>
  <c r="C232" i="20" l="1"/>
  <c r="D233" i="20" s="1"/>
  <c r="B233" i="20"/>
  <c r="A236" i="20"/>
  <c r="C228" i="3"/>
  <c r="D229" i="3" s="1"/>
  <c r="C233" i="20" l="1"/>
  <c r="D234" i="20" s="1"/>
  <c r="B234" i="20"/>
  <c r="A237" i="20"/>
  <c r="C229" i="3"/>
  <c r="D230" i="3" s="1"/>
  <c r="C234" i="20" l="1"/>
  <c r="D235" i="20" s="1"/>
  <c r="B235" i="20"/>
  <c r="A238" i="20"/>
  <c r="C230" i="3"/>
  <c r="D231" i="3" s="1"/>
  <c r="C235" i="20" l="1"/>
  <c r="D236" i="20" s="1"/>
  <c r="B236" i="20"/>
  <c r="A239" i="20"/>
  <c r="C231" i="3"/>
  <c r="D232" i="3" s="1"/>
  <c r="C236" i="20" l="1"/>
  <c r="D237" i="20" s="1"/>
  <c r="B237" i="20"/>
  <c r="A240" i="20"/>
  <c r="C232" i="3"/>
  <c r="D233" i="3" s="1"/>
  <c r="C237" i="20" l="1"/>
  <c r="D238" i="20" s="1"/>
  <c r="B238" i="20"/>
  <c r="A241" i="20"/>
  <c r="C233" i="3"/>
  <c r="D234" i="3" s="1"/>
  <c r="C238" i="20" l="1"/>
  <c r="D239" i="20" s="1"/>
  <c r="B239" i="20"/>
  <c r="A242" i="20"/>
  <c r="C234" i="3"/>
  <c r="D235" i="3" s="1"/>
  <c r="C239" i="20" l="1"/>
  <c r="D240" i="20" s="1"/>
  <c r="B240" i="20"/>
  <c r="A243" i="20"/>
  <c r="C235" i="3"/>
  <c r="D236" i="3" s="1"/>
  <c r="C240" i="20" l="1"/>
  <c r="D241" i="20" s="1"/>
  <c r="B241" i="20"/>
  <c r="A244" i="20"/>
  <c r="C236" i="3"/>
  <c r="D237" i="3" s="1"/>
  <c r="C241" i="20" l="1"/>
  <c r="D242" i="20" s="1"/>
  <c r="B242" i="20"/>
  <c r="A245" i="20"/>
  <c r="C237" i="3"/>
  <c r="D238" i="3" s="1"/>
  <c r="C242" i="20" l="1"/>
  <c r="D243" i="20" s="1"/>
  <c r="B243" i="20"/>
  <c r="A246" i="20"/>
  <c r="C238" i="3"/>
  <c r="D239" i="3" s="1"/>
  <c r="C243" i="20" l="1"/>
  <c r="D244" i="20" s="1"/>
  <c r="B244" i="20"/>
  <c r="A247" i="20"/>
  <c r="C239" i="3"/>
  <c r="D240" i="3" s="1"/>
  <c r="C244" i="20" l="1"/>
  <c r="D245" i="20" s="1"/>
  <c r="B245" i="20"/>
  <c r="A248" i="20"/>
  <c r="C240" i="3"/>
  <c r="D241" i="3" s="1"/>
  <c r="C245" i="20" l="1"/>
  <c r="D246" i="20" s="1"/>
  <c r="B246" i="20"/>
  <c r="A249" i="20"/>
  <c r="C241" i="3"/>
  <c r="D242" i="3" s="1"/>
  <c r="C246" i="20" l="1"/>
  <c r="D247" i="20" s="1"/>
  <c r="B247" i="20"/>
  <c r="A250" i="20"/>
  <c r="C242" i="3"/>
  <c r="D243" i="3" s="1"/>
  <c r="C247" i="20" l="1"/>
  <c r="D248" i="20" s="1"/>
  <c r="B248" i="20"/>
  <c r="A251" i="20"/>
  <c r="C243" i="3"/>
  <c r="D244" i="3" s="1"/>
  <c r="C248" i="20" l="1"/>
  <c r="D249" i="20" s="1"/>
  <c r="B249" i="20"/>
  <c r="A252" i="20"/>
  <c r="C244" i="3"/>
  <c r="D245" i="3" s="1"/>
  <c r="C249" i="20" l="1"/>
  <c r="D250" i="20" s="1"/>
  <c r="B250" i="20"/>
  <c r="A253" i="20"/>
  <c r="C245" i="3"/>
  <c r="D246" i="3" s="1"/>
  <c r="C250" i="20" l="1"/>
  <c r="D251" i="20" s="1"/>
  <c r="B251" i="20"/>
  <c r="A254" i="20"/>
  <c r="C246" i="3"/>
  <c r="D247" i="3" s="1"/>
  <c r="C251" i="20" l="1"/>
  <c r="D252" i="20" s="1"/>
  <c r="B252" i="20"/>
  <c r="A255" i="20"/>
  <c r="C247" i="3"/>
  <c r="D248" i="3" s="1"/>
  <c r="C252" i="20" l="1"/>
  <c r="D253" i="20" s="1"/>
  <c r="B253" i="20"/>
  <c r="A256" i="20"/>
  <c r="C248" i="3"/>
  <c r="D249" i="3" s="1"/>
  <c r="C253" i="20" l="1"/>
  <c r="D254" i="20" s="1"/>
  <c r="B254" i="20"/>
  <c r="A257" i="20"/>
  <c r="C249" i="3"/>
  <c r="D250" i="3" s="1"/>
  <c r="C254" i="20" l="1"/>
  <c r="D255" i="20" s="1"/>
  <c r="B255" i="20"/>
  <c r="A258" i="20"/>
  <c r="C250" i="3"/>
  <c r="D251" i="3" s="1"/>
  <c r="C255" i="20" l="1"/>
  <c r="D256" i="20" s="1"/>
  <c r="B256" i="20"/>
  <c r="A259" i="20"/>
  <c r="C251" i="3"/>
  <c r="D252" i="3" s="1"/>
  <c r="C256" i="20" l="1"/>
  <c r="D257" i="20" s="1"/>
  <c r="B257" i="20"/>
  <c r="A260" i="20"/>
  <c r="C252" i="3"/>
  <c r="D253" i="3" s="1"/>
  <c r="C257" i="20" l="1"/>
  <c r="D258" i="20" s="1"/>
  <c r="B258" i="20"/>
  <c r="A261" i="20"/>
  <c r="C253" i="3"/>
  <c r="D254" i="3" s="1"/>
  <c r="C258" i="20" l="1"/>
  <c r="D259" i="20" s="1"/>
  <c r="B259" i="20"/>
  <c r="A262" i="20"/>
  <c r="C254" i="3"/>
  <c r="D255" i="3" s="1"/>
  <c r="C259" i="20" l="1"/>
  <c r="D260" i="20" s="1"/>
  <c r="B260" i="20"/>
  <c r="A263" i="20"/>
  <c r="C255" i="3"/>
  <c r="D256" i="3" s="1"/>
  <c r="C260" i="20" l="1"/>
  <c r="D261" i="20" s="1"/>
  <c r="B261" i="20"/>
  <c r="A264" i="20"/>
  <c r="C256" i="3"/>
  <c r="D257" i="3" s="1"/>
  <c r="C261" i="20" l="1"/>
  <c r="D262" i="20" s="1"/>
  <c r="B262" i="20"/>
  <c r="A265" i="20"/>
  <c r="C257" i="3"/>
  <c r="D258" i="3" s="1"/>
  <c r="C262" i="20" l="1"/>
  <c r="D263" i="20" s="1"/>
  <c r="B263" i="20"/>
  <c r="A266" i="20"/>
  <c r="C258" i="3"/>
  <c r="D259" i="3" s="1"/>
  <c r="C263" i="20" l="1"/>
  <c r="D264" i="20" s="1"/>
  <c r="B264" i="20"/>
  <c r="A267" i="20"/>
  <c r="C259" i="3"/>
  <c r="D260" i="3" s="1"/>
  <c r="C264" i="20" l="1"/>
  <c r="D265" i="20" s="1"/>
  <c r="B265" i="20"/>
  <c r="A268" i="20"/>
  <c r="C260" i="3"/>
  <c r="D261" i="3" s="1"/>
  <c r="C265" i="20" l="1"/>
  <c r="D266" i="20" s="1"/>
  <c r="B266" i="20"/>
  <c r="A269" i="20"/>
  <c r="C261" i="3"/>
  <c r="D262" i="3" s="1"/>
  <c r="C266" i="20" l="1"/>
  <c r="D267" i="20" s="1"/>
  <c r="B267" i="20"/>
  <c r="A270" i="20"/>
  <c r="C262" i="3"/>
  <c r="D263" i="3" s="1"/>
  <c r="C267" i="20" l="1"/>
  <c r="D268" i="20" s="1"/>
  <c r="B268" i="20"/>
  <c r="A271" i="20"/>
  <c r="C263" i="3"/>
  <c r="D264" i="3" s="1"/>
  <c r="C268" i="20" l="1"/>
  <c r="D269" i="20" s="1"/>
  <c r="B269" i="20"/>
  <c r="A272" i="20"/>
  <c r="C264" i="3"/>
  <c r="D265" i="3" s="1"/>
  <c r="C269" i="20" l="1"/>
  <c r="D270" i="20" s="1"/>
  <c r="B270" i="20"/>
  <c r="A273" i="20"/>
  <c r="C265" i="3"/>
  <c r="D266" i="3" s="1"/>
  <c r="C270" i="20" l="1"/>
  <c r="D271" i="20" s="1"/>
  <c r="B271" i="20"/>
  <c r="A274" i="20"/>
  <c r="C266" i="3"/>
  <c r="D267" i="3" s="1"/>
  <c r="C271" i="20" l="1"/>
  <c r="D272" i="20" s="1"/>
  <c r="B272" i="20"/>
  <c r="A275" i="20"/>
  <c r="C267" i="3"/>
  <c r="D268" i="3" s="1"/>
  <c r="C272" i="20" l="1"/>
  <c r="D273" i="20" s="1"/>
  <c r="B273" i="20"/>
  <c r="A276" i="20"/>
  <c r="C268" i="3"/>
  <c r="D269" i="3" s="1"/>
  <c r="C273" i="20" l="1"/>
  <c r="D274" i="20" s="1"/>
  <c r="B274" i="20"/>
  <c r="A277" i="20"/>
  <c r="C269" i="3"/>
  <c r="D270" i="3" s="1"/>
  <c r="C274" i="20" l="1"/>
  <c r="D275" i="20" s="1"/>
  <c r="B275" i="20"/>
  <c r="A278" i="20"/>
  <c r="C270" i="3"/>
  <c r="D271" i="3" s="1"/>
  <c r="C275" i="20" l="1"/>
  <c r="D276" i="20" s="1"/>
  <c r="B276" i="20"/>
  <c r="A279" i="20"/>
  <c r="C271" i="3"/>
  <c r="D272" i="3" s="1"/>
  <c r="C276" i="20" l="1"/>
  <c r="D277" i="20" s="1"/>
  <c r="B277" i="20"/>
  <c r="A280" i="20"/>
  <c r="C272" i="3"/>
  <c r="D273" i="3" s="1"/>
  <c r="C277" i="20" l="1"/>
  <c r="D278" i="20" s="1"/>
  <c r="B278" i="20"/>
  <c r="A281" i="20"/>
  <c r="C273" i="3"/>
  <c r="D274" i="3" s="1"/>
  <c r="C278" i="20" l="1"/>
  <c r="D279" i="20" s="1"/>
  <c r="B279" i="20"/>
  <c r="A282" i="20"/>
  <c r="C274" i="3"/>
  <c r="D275" i="3" s="1"/>
  <c r="C279" i="20" l="1"/>
  <c r="D280" i="20" s="1"/>
  <c r="B280" i="20"/>
  <c r="A283" i="20"/>
  <c r="C275" i="3"/>
  <c r="D276" i="3" s="1"/>
  <c r="C280" i="20" l="1"/>
  <c r="D281" i="20" s="1"/>
  <c r="B281" i="20"/>
  <c r="A284" i="20"/>
  <c r="C276" i="3"/>
  <c r="D277" i="3" s="1"/>
  <c r="C281" i="20" l="1"/>
  <c r="D282" i="20" s="1"/>
  <c r="B282" i="20"/>
  <c r="A285" i="20"/>
  <c r="C277" i="3"/>
  <c r="D278" i="3" s="1"/>
  <c r="C282" i="20" l="1"/>
  <c r="D283" i="20" s="1"/>
  <c r="B283" i="20"/>
  <c r="A286" i="20"/>
  <c r="C278" i="3"/>
  <c r="D279" i="3" s="1"/>
  <c r="C283" i="20" l="1"/>
  <c r="D284" i="20" s="1"/>
  <c r="B284" i="20"/>
  <c r="A287" i="20"/>
  <c r="C279" i="3"/>
  <c r="D280" i="3" s="1"/>
  <c r="C284" i="20" l="1"/>
  <c r="D285" i="20" s="1"/>
  <c r="B285" i="20"/>
  <c r="A288" i="20"/>
  <c r="C280" i="3"/>
  <c r="D281" i="3" s="1"/>
  <c r="C285" i="20" l="1"/>
  <c r="D286" i="20" s="1"/>
  <c r="B286" i="20"/>
  <c r="A289" i="20"/>
  <c r="C281" i="3"/>
  <c r="D282" i="3" s="1"/>
  <c r="C286" i="20" l="1"/>
  <c r="D287" i="20" s="1"/>
  <c r="B287" i="20"/>
  <c r="A290" i="20"/>
  <c r="C282" i="3"/>
  <c r="D283" i="3" s="1"/>
  <c r="C287" i="20" l="1"/>
  <c r="D288" i="20" s="1"/>
  <c r="B288" i="20"/>
  <c r="A291" i="20"/>
  <c r="C283" i="3"/>
  <c r="D284" i="3" s="1"/>
  <c r="C288" i="20" l="1"/>
  <c r="D289" i="20" s="1"/>
  <c r="B289" i="20"/>
  <c r="A292" i="20"/>
  <c r="C284" i="3"/>
  <c r="D285" i="3" s="1"/>
  <c r="C289" i="20" l="1"/>
  <c r="D290" i="20" s="1"/>
  <c r="B290" i="20"/>
  <c r="A293" i="20"/>
  <c r="C285" i="3"/>
  <c r="D286" i="3" s="1"/>
  <c r="C290" i="20" l="1"/>
  <c r="D291" i="20" s="1"/>
  <c r="B291" i="20"/>
  <c r="A294" i="20"/>
  <c r="C286" i="3"/>
  <c r="D287" i="3" s="1"/>
  <c r="C291" i="20" l="1"/>
  <c r="D292" i="20" s="1"/>
  <c r="B292" i="20"/>
  <c r="A295" i="20"/>
  <c r="C287" i="3"/>
  <c r="D288" i="3" s="1"/>
  <c r="C292" i="20" l="1"/>
  <c r="D293" i="20" s="1"/>
  <c r="B293" i="20"/>
  <c r="A296" i="20"/>
  <c r="C288" i="3"/>
  <c r="D289" i="3" s="1"/>
  <c r="C293" i="20" l="1"/>
  <c r="D294" i="20" s="1"/>
  <c r="B294" i="20"/>
  <c r="A297" i="20"/>
  <c r="C289" i="3"/>
  <c r="D290" i="3" s="1"/>
  <c r="C294" i="20" l="1"/>
  <c r="D295" i="20" s="1"/>
  <c r="B295" i="20"/>
  <c r="A298" i="20"/>
  <c r="C290" i="3"/>
  <c r="D291" i="3" s="1"/>
  <c r="C295" i="20" l="1"/>
  <c r="D296" i="20" s="1"/>
  <c r="B296" i="20"/>
  <c r="A299" i="20"/>
  <c r="C291" i="3"/>
  <c r="D292" i="3" s="1"/>
  <c r="C296" i="20" l="1"/>
  <c r="D297" i="20" s="1"/>
  <c r="B297" i="20"/>
  <c r="A300" i="20"/>
  <c r="C292" i="3"/>
  <c r="D293" i="3" s="1"/>
  <c r="C297" i="20" l="1"/>
  <c r="D298" i="20" s="1"/>
  <c r="B298" i="20"/>
  <c r="A301" i="20"/>
  <c r="C293" i="3"/>
  <c r="D294" i="3" s="1"/>
  <c r="C298" i="20" l="1"/>
  <c r="D299" i="20" s="1"/>
  <c r="B299" i="20"/>
  <c r="A302" i="20"/>
  <c r="C294" i="3"/>
  <c r="D295" i="3" s="1"/>
  <c r="C299" i="20" l="1"/>
  <c r="D300" i="20" s="1"/>
  <c r="B300" i="20"/>
  <c r="A303" i="20"/>
  <c r="C295" i="3"/>
  <c r="D296" i="3" s="1"/>
  <c r="C300" i="20" l="1"/>
  <c r="D301" i="20" s="1"/>
  <c r="B301" i="20"/>
  <c r="A304" i="20"/>
  <c r="C296" i="3"/>
  <c r="D297" i="3" s="1"/>
  <c r="C301" i="20" l="1"/>
  <c r="D302" i="20" s="1"/>
  <c r="B302" i="20"/>
  <c r="A305" i="20"/>
  <c r="C297" i="3"/>
  <c r="D298" i="3" s="1"/>
  <c r="C302" i="20" l="1"/>
  <c r="D303" i="20" s="1"/>
  <c r="B303" i="20"/>
  <c r="A306" i="20"/>
  <c r="C298" i="3"/>
  <c r="D299" i="3" s="1"/>
  <c r="C303" i="20" l="1"/>
  <c r="D304" i="20" s="1"/>
  <c r="B304" i="20"/>
  <c r="A307" i="20"/>
  <c r="C299" i="3"/>
  <c r="D300" i="3" s="1"/>
  <c r="C304" i="20" l="1"/>
  <c r="D305" i="20" s="1"/>
  <c r="B305" i="20"/>
  <c r="A308" i="20"/>
  <c r="C300" i="3"/>
  <c r="D301" i="3" s="1"/>
  <c r="C305" i="20" l="1"/>
  <c r="D306" i="20" s="1"/>
  <c r="B306" i="20"/>
  <c r="A309" i="20"/>
  <c r="C301" i="3"/>
  <c r="D302" i="3" s="1"/>
  <c r="C306" i="20" l="1"/>
  <c r="D307" i="20" s="1"/>
  <c r="B307" i="20"/>
  <c r="A310" i="20"/>
  <c r="C302" i="3"/>
  <c r="D303" i="3" s="1"/>
  <c r="C307" i="20" l="1"/>
  <c r="D308" i="20" s="1"/>
  <c r="B308" i="20"/>
  <c r="A311" i="20"/>
  <c r="C303" i="3"/>
  <c r="D304" i="3" s="1"/>
  <c r="C308" i="20" l="1"/>
  <c r="D309" i="20" s="1"/>
  <c r="B309" i="20"/>
  <c r="A312" i="20"/>
  <c r="C304" i="3"/>
  <c r="D305" i="3" s="1"/>
  <c r="C309" i="20" l="1"/>
  <c r="D310" i="20" s="1"/>
  <c r="B310" i="20"/>
  <c r="A313" i="20"/>
  <c r="C305" i="3"/>
  <c r="D306" i="3" s="1"/>
  <c r="C310" i="20" l="1"/>
  <c r="D311" i="20" s="1"/>
  <c r="B311" i="20"/>
  <c r="A314" i="20"/>
  <c r="C306" i="3"/>
  <c r="D307" i="3" s="1"/>
  <c r="C311" i="20" l="1"/>
  <c r="D312" i="20" s="1"/>
  <c r="B312" i="20"/>
  <c r="A315" i="20"/>
  <c r="C307" i="3"/>
  <c r="D308" i="3" s="1"/>
  <c r="C312" i="20" l="1"/>
  <c r="D313" i="20" s="1"/>
  <c r="B313" i="20"/>
  <c r="A316" i="20"/>
  <c r="C308" i="3"/>
  <c r="D309" i="3" s="1"/>
  <c r="C313" i="20" l="1"/>
  <c r="D314" i="20" s="1"/>
  <c r="B314" i="20"/>
  <c r="A317" i="20"/>
  <c r="C309" i="3"/>
  <c r="D310" i="3" s="1"/>
  <c r="C314" i="20" l="1"/>
  <c r="D315" i="20" s="1"/>
  <c r="B315" i="20"/>
  <c r="A318" i="20"/>
  <c r="C310" i="3"/>
  <c r="D311" i="3" s="1"/>
  <c r="C315" i="20" l="1"/>
  <c r="D316" i="20" s="1"/>
  <c r="B316" i="20"/>
  <c r="A319" i="20"/>
  <c r="C311" i="3"/>
  <c r="D312" i="3" s="1"/>
  <c r="C316" i="20" l="1"/>
  <c r="D317" i="20" s="1"/>
  <c r="B317" i="20"/>
  <c r="A320" i="20"/>
  <c r="C312" i="3"/>
  <c r="D313" i="3" s="1"/>
  <c r="C317" i="20" l="1"/>
  <c r="D318" i="20" s="1"/>
  <c r="B318" i="20"/>
  <c r="A321" i="20"/>
  <c r="C313" i="3"/>
  <c r="D314" i="3" s="1"/>
  <c r="C318" i="20" l="1"/>
  <c r="D319" i="20" s="1"/>
  <c r="B319" i="20"/>
  <c r="A322" i="20"/>
  <c r="C314" i="3"/>
  <c r="D315" i="3" s="1"/>
  <c r="C319" i="20" l="1"/>
  <c r="D320" i="20" s="1"/>
  <c r="B320" i="20"/>
  <c r="A323" i="20"/>
  <c r="C315" i="3"/>
  <c r="D316" i="3" s="1"/>
  <c r="C320" i="20" l="1"/>
  <c r="D321" i="20" s="1"/>
  <c r="B321" i="20"/>
  <c r="A324" i="20"/>
  <c r="C316" i="3"/>
  <c r="D317" i="3" s="1"/>
  <c r="C321" i="20" l="1"/>
  <c r="D322" i="20" s="1"/>
  <c r="B322" i="20"/>
  <c r="A325" i="20"/>
  <c r="C317" i="3"/>
  <c r="D318" i="3" s="1"/>
  <c r="C322" i="20" l="1"/>
  <c r="D323" i="20" s="1"/>
  <c r="B323" i="20"/>
  <c r="A326" i="20"/>
  <c r="C318" i="3"/>
  <c r="D319" i="3" s="1"/>
  <c r="C323" i="20" l="1"/>
  <c r="D324" i="20" s="1"/>
  <c r="B324" i="20"/>
  <c r="A327" i="20"/>
  <c r="C319" i="3"/>
  <c r="D320" i="3" s="1"/>
  <c r="C324" i="20" l="1"/>
  <c r="D325" i="20" s="1"/>
  <c r="B325" i="20"/>
  <c r="A328" i="20"/>
  <c r="C320" i="3"/>
  <c r="D321" i="3" s="1"/>
  <c r="C325" i="20" l="1"/>
  <c r="D326" i="20" s="1"/>
  <c r="B326" i="20"/>
  <c r="A329" i="20"/>
  <c r="C321" i="3"/>
  <c r="D322" i="3" s="1"/>
  <c r="C326" i="20" l="1"/>
  <c r="D327" i="20" s="1"/>
  <c r="B327" i="20"/>
  <c r="A330" i="20"/>
  <c r="C322" i="3"/>
  <c r="D323" i="3" s="1"/>
  <c r="C327" i="20" l="1"/>
  <c r="D328" i="20" s="1"/>
  <c r="B328" i="20"/>
  <c r="A331" i="20"/>
  <c r="C323" i="3"/>
  <c r="D324" i="3" s="1"/>
  <c r="C328" i="20" l="1"/>
  <c r="D329" i="20" s="1"/>
  <c r="B329" i="20"/>
  <c r="A332" i="20"/>
  <c r="C324" i="3"/>
  <c r="D325" i="3" s="1"/>
  <c r="C329" i="20" l="1"/>
  <c r="D330" i="20" s="1"/>
  <c r="B330" i="20"/>
  <c r="A333" i="20"/>
  <c r="C325" i="3"/>
  <c r="D326" i="3" s="1"/>
  <c r="C330" i="20" l="1"/>
  <c r="D331" i="20" s="1"/>
  <c r="B331" i="20"/>
  <c r="A334" i="20"/>
  <c r="C326" i="3"/>
  <c r="D327" i="3" s="1"/>
  <c r="C331" i="20" l="1"/>
  <c r="D332" i="20" s="1"/>
  <c r="B332" i="20"/>
  <c r="A335" i="20"/>
  <c r="C327" i="3"/>
  <c r="D328" i="3" s="1"/>
  <c r="C332" i="20" l="1"/>
  <c r="D333" i="20" s="1"/>
  <c r="B333" i="20"/>
  <c r="A336" i="20"/>
  <c r="C328" i="3"/>
  <c r="D329" i="3" s="1"/>
  <c r="C333" i="20" l="1"/>
  <c r="D334" i="20" s="1"/>
  <c r="B334" i="20"/>
  <c r="A337" i="20"/>
  <c r="C329" i="3"/>
  <c r="D330" i="3" s="1"/>
  <c r="C334" i="20" l="1"/>
  <c r="D335" i="20" s="1"/>
  <c r="B335" i="20"/>
  <c r="A338" i="20"/>
  <c r="C330" i="3"/>
  <c r="D331" i="3" s="1"/>
  <c r="C335" i="20" l="1"/>
  <c r="D336" i="20" s="1"/>
  <c r="B336" i="20"/>
  <c r="A339" i="20"/>
  <c r="C331" i="3"/>
  <c r="D332" i="3" s="1"/>
  <c r="C336" i="20" l="1"/>
  <c r="D337" i="20" s="1"/>
  <c r="B337" i="20"/>
  <c r="A340" i="20"/>
  <c r="C332" i="3"/>
  <c r="D333" i="3" s="1"/>
  <c r="C337" i="20" l="1"/>
  <c r="D338" i="20" s="1"/>
  <c r="B338" i="20"/>
  <c r="A341" i="20"/>
  <c r="C333" i="3"/>
  <c r="D334" i="3" s="1"/>
  <c r="C338" i="20" l="1"/>
  <c r="D339" i="20" s="1"/>
  <c r="B339" i="20"/>
  <c r="A342" i="20"/>
  <c r="C334" i="3"/>
  <c r="D335" i="3" s="1"/>
  <c r="C339" i="20" l="1"/>
  <c r="D340" i="20" s="1"/>
  <c r="B340" i="20"/>
  <c r="A343" i="20"/>
  <c r="C335" i="3"/>
  <c r="D336" i="3" s="1"/>
  <c r="C340" i="20" l="1"/>
  <c r="D341" i="20" s="1"/>
  <c r="B341" i="20"/>
  <c r="A344" i="20"/>
  <c r="C336" i="3"/>
  <c r="D337" i="3" s="1"/>
  <c r="C341" i="20" l="1"/>
  <c r="D342" i="20" s="1"/>
  <c r="B342" i="20"/>
  <c r="A345" i="20"/>
  <c r="C337" i="3"/>
  <c r="D338" i="3" s="1"/>
  <c r="C342" i="20" l="1"/>
  <c r="D343" i="20" s="1"/>
  <c r="B343" i="20"/>
  <c r="A346" i="20"/>
  <c r="C338" i="3"/>
  <c r="D339" i="3" s="1"/>
  <c r="C343" i="20" l="1"/>
  <c r="D344" i="20" s="1"/>
  <c r="B344" i="20"/>
  <c r="A347" i="20"/>
  <c r="C339" i="3"/>
  <c r="D340" i="3" s="1"/>
  <c r="C344" i="20" l="1"/>
  <c r="D345" i="20" s="1"/>
  <c r="B345" i="20"/>
  <c r="A348" i="20"/>
  <c r="C340" i="3"/>
  <c r="D341" i="3" s="1"/>
  <c r="C345" i="20" l="1"/>
  <c r="D346" i="20" s="1"/>
  <c r="B346" i="20"/>
  <c r="A349" i="20"/>
  <c r="C341" i="3"/>
  <c r="D342" i="3" s="1"/>
  <c r="C346" i="20" l="1"/>
  <c r="D347" i="20" s="1"/>
  <c r="B347" i="20"/>
  <c r="A350" i="20"/>
  <c r="C342" i="3"/>
  <c r="D343" i="3" s="1"/>
  <c r="C347" i="20" l="1"/>
  <c r="D348" i="20" s="1"/>
  <c r="B348" i="20"/>
  <c r="A351" i="20"/>
  <c r="C343" i="3"/>
  <c r="D344" i="3" s="1"/>
  <c r="C348" i="20" l="1"/>
  <c r="D349" i="20" s="1"/>
  <c r="B349" i="20"/>
  <c r="A352" i="20"/>
  <c r="C344" i="3"/>
  <c r="D345" i="3" s="1"/>
  <c r="C349" i="20" l="1"/>
  <c r="D350" i="20" s="1"/>
  <c r="B350" i="20"/>
  <c r="A353" i="20"/>
  <c r="C345" i="3"/>
  <c r="D346" i="3" s="1"/>
  <c r="C350" i="20" l="1"/>
  <c r="D351" i="20" s="1"/>
  <c r="B351" i="20"/>
  <c r="A354" i="20"/>
  <c r="C346" i="3"/>
  <c r="D347" i="3" s="1"/>
  <c r="C351" i="20" l="1"/>
  <c r="D352" i="20" s="1"/>
  <c r="B352" i="20"/>
  <c r="A355" i="20"/>
  <c r="C347" i="3"/>
  <c r="D348" i="3" s="1"/>
  <c r="C352" i="20" l="1"/>
  <c r="D353" i="20" s="1"/>
  <c r="B353" i="20"/>
  <c r="A356" i="20"/>
  <c r="C348" i="3"/>
  <c r="D349" i="3" s="1"/>
  <c r="C353" i="20" l="1"/>
  <c r="D354" i="20" s="1"/>
  <c r="B354" i="20"/>
  <c r="A357" i="20"/>
  <c r="C349" i="3"/>
  <c r="D350" i="3" s="1"/>
  <c r="C354" i="20" l="1"/>
  <c r="D355" i="20" s="1"/>
  <c r="B355" i="20"/>
  <c r="A358" i="20"/>
  <c r="C350" i="3"/>
  <c r="D351" i="3" s="1"/>
  <c r="C355" i="20" l="1"/>
  <c r="D356" i="20" s="1"/>
  <c r="B356" i="20"/>
  <c r="A359" i="20"/>
  <c r="C351" i="3"/>
  <c r="D352" i="3" s="1"/>
  <c r="C356" i="20" l="1"/>
  <c r="D357" i="20" s="1"/>
  <c r="B357" i="20"/>
  <c r="A360" i="20"/>
  <c r="C352" i="3"/>
  <c r="D353" i="3" s="1"/>
  <c r="C357" i="20" l="1"/>
  <c r="D358" i="20" s="1"/>
  <c r="B358" i="20"/>
  <c r="A361" i="20"/>
  <c r="C353" i="3"/>
  <c r="D354" i="3" s="1"/>
  <c r="C358" i="20" l="1"/>
  <c r="D359" i="20" s="1"/>
  <c r="B359" i="20"/>
  <c r="A362" i="20"/>
  <c r="C354" i="3"/>
  <c r="D355" i="3" s="1"/>
  <c r="C359" i="20" l="1"/>
  <c r="D360" i="20" s="1"/>
  <c r="B360" i="20"/>
  <c r="A363" i="20"/>
  <c r="C355" i="3"/>
  <c r="D356" i="3" s="1"/>
  <c r="C360" i="20" l="1"/>
  <c r="D361" i="20" s="1"/>
  <c r="B361" i="20"/>
  <c r="A364" i="20"/>
  <c r="C356" i="3"/>
  <c r="D357" i="3" s="1"/>
  <c r="C361" i="20" l="1"/>
  <c r="D362" i="20" s="1"/>
  <c r="B362" i="20"/>
  <c r="A365" i="20"/>
  <c r="C357" i="3"/>
  <c r="D358" i="3" s="1"/>
  <c r="C362" i="20" l="1"/>
  <c r="D363" i="20" s="1"/>
  <c r="B363" i="20"/>
  <c r="A366" i="20"/>
  <c r="C358" i="3"/>
  <c r="D359" i="3" s="1"/>
  <c r="C363" i="20" l="1"/>
  <c r="D364" i="20" s="1"/>
  <c r="B364" i="20"/>
  <c r="A367" i="20"/>
  <c r="C359" i="3"/>
  <c r="D360" i="3" s="1"/>
  <c r="C364" i="20" l="1"/>
  <c r="D365" i="20" s="1"/>
  <c r="B365" i="20"/>
  <c r="A368" i="20"/>
  <c r="C360" i="3"/>
  <c r="D361" i="3" s="1"/>
  <c r="C365" i="20" l="1"/>
  <c r="D366" i="20" s="1"/>
  <c r="B366" i="20"/>
  <c r="A369" i="20"/>
  <c r="C361" i="3"/>
  <c r="D362" i="3" s="1"/>
  <c r="C366" i="20" l="1"/>
  <c r="D367" i="20" s="1"/>
  <c r="B367" i="20"/>
  <c r="A370" i="20"/>
  <c r="C362" i="3"/>
  <c r="D363" i="3" s="1"/>
  <c r="C367" i="20" l="1"/>
  <c r="D368" i="20" s="1"/>
  <c r="B368" i="20"/>
  <c r="A371" i="20"/>
  <c r="C363" i="3"/>
  <c r="D364" i="3" s="1"/>
  <c r="C368" i="20" l="1"/>
  <c r="D369" i="20" s="1"/>
  <c r="B369" i="20"/>
  <c r="A372" i="20"/>
  <c r="C364" i="3"/>
  <c r="D365" i="3" s="1"/>
  <c r="C369" i="20" l="1"/>
  <c r="D370" i="20" s="1"/>
  <c r="B370" i="20"/>
  <c r="A373" i="20"/>
  <c r="C365" i="3"/>
  <c r="D366" i="3" s="1"/>
  <c r="C370" i="20" l="1"/>
  <c r="D371" i="20" s="1"/>
  <c r="B371" i="20"/>
  <c r="A374" i="20"/>
  <c r="C366" i="3"/>
  <c r="D367" i="3" s="1"/>
  <c r="C371" i="20" l="1"/>
  <c r="D372" i="20" s="1"/>
  <c r="B372" i="20"/>
  <c r="A375" i="20"/>
  <c r="C367" i="3"/>
  <c r="D368" i="3" s="1"/>
  <c r="C372" i="20" l="1"/>
  <c r="D373" i="20" s="1"/>
  <c r="B373" i="20"/>
  <c r="A376" i="20"/>
  <c r="C368" i="3"/>
  <c r="D369" i="3" s="1"/>
  <c r="C373" i="20" l="1"/>
  <c r="D374" i="20" s="1"/>
  <c r="B374" i="20"/>
  <c r="A377" i="20"/>
  <c r="C369" i="3"/>
  <c r="D370" i="3" s="1"/>
  <c r="C374" i="20" l="1"/>
  <c r="D375" i="20" s="1"/>
  <c r="B375" i="20"/>
  <c r="A378" i="20"/>
  <c r="C370" i="3"/>
  <c r="D371" i="3" s="1"/>
  <c r="C375" i="20" l="1"/>
  <c r="D376" i="20" s="1"/>
  <c r="B376" i="20"/>
  <c r="A379" i="20"/>
  <c r="C371" i="3"/>
  <c r="D372" i="3" s="1"/>
  <c r="C376" i="20" l="1"/>
  <c r="D377" i="20" s="1"/>
  <c r="B377" i="20"/>
  <c r="A380" i="20"/>
  <c r="C372" i="3"/>
  <c r="D373" i="3" s="1"/>
  <c r="C377" i="20" l="1"/>
  <c r="D378" i="20" s="1"/>
  <c r="B378" i="20"/>
  <c r="A381" i="20"/>
  <c r="C373" i="3"/>
  <c r="D374" i="3" s="1"/>
  <c r="C378" i="20" l="1"/>
  <c r="D379" i="20" s="1"/>
  <c r="B379" i="20"/>
  <c r="A382" i="20"/>
  <c r="C374" i="3"/>
  <c r="D375" i="3" s="1"/>
  <c r="C379" i="20" l="1"/>
  <c r="D380" i="20" s="1"/>
  <c r="B380" i="20"/>
  <c r="A383" i="20"/>
  <c r="C375" i="3"/>
  <c r="D376" i="3" s="1"/>
  <c r="C380" i="20" l="1"/>
  <c r="D381" i="20" s="1"/>
  <c r="B381" i="20"/>
  <c r="A384" i="20"/>
  <c r="C376" i="3"/>
  <c r="D377" i="3" s="1"/>
  <c r="C381" i="20" l="1"/>
  <c r="D382" i="20" s="1"/>
  <c r="B382" i="20"/>
  <c r="A385" i="20"/>
  <c r="C377" i="3"/>
  <c r="D378" i="3" s="1"/>
  <c r="C382" i="20" l="1"/>
  <c r="D383" i="20" s="1"/>
  <c r="B383" i="20"/>
  <c r="A386" i="20"/>
  <c r="C378" i="3"/>
  <c r="D379" i="3" s="1"/>
  <c r="C383" i="20" l="1"/>
  <c r="D384" i="20" s="1"/>
  <c r="B384" i="20"/>
  <c r="A387" i="20"/>
  <c r="C379" i="3"/>
  <c r="D380" i="3" s="1"/>
  <c r="C384" i="20" l="1"/>
  <c r="D385" i="20" s="1"/>
  <c r="B385" i="20"/>
  <c r="A388" i="20"/>
  <c r="C380" i="3"/>
  <c r="D381" i="3" s="1"/>
  <c r="C385" i="20" l="1"/>
  <c r="D386" i="20" s="1"/>
  <c r="B386" i="20"/>
  <c r="A389" i="20"/>
  <c r="C381" i="3"/>
  <c r="D382" i="3" s="1"/>
  <c r="C386" i="20" l="1"/>
  <c r="D387" i="20" s="1"/>
  <c r="B387" i="20"/>
  <c r="A390" i="20"/>
  <c r="C382" i="3"/>
  <c r="D383" i="3" s="1"/>
  <c r="C387" i="20" l="1"/>
  <c r="D388" i="20" s="1"/>
  <c r="B388" i="20"/>
  <c r="A391" i="20"/>
  <c r="C383" i="3"/>
  <c r="D384" i="3" s="1"/>
  <c r="C388" i="20" l="1"/>
  <c r="D389" i="20" s="1"/>
  <c r="B389" i="20"/>
  <c r="A392" i="20"/>
  <c r="C384" i="3"/>
  <c r="D385" i="3" s="1"/>
  <c r="C389" i="20" l="1"/>
  <c r="D390" i="20" s="1"/>
  <c r="B390" i="20"/>
  <c r="A393" i="20"/>
  <c r="C385" i="3"/>
  <c r="D386" i="3" s="1"/>
  <c r="C390" i="20" l="1"/>
  <c r="D391" i="20" s="1"/>
  <c r="B391" i="20"/>
  <c r="A394" i="20"/>
  <c r="C386" i="3"/>
  <c r="D387" i="3" s="1"/>
  <c r="C391" i="20" l="1"/>
  <c r="D392" i="20" s="1"/>
  <c r="B392" i="20"/>
  <c r="A395" i="20"/>
  <c r="C387" i="3"/>
  <c r="D388" i="3" s="1"/>
  <c r="C392" i="20" l="1"/>
  <c r="D393" i="20" s="1"/>
  <c r="B393" i="20"/>
  <c r="A396" i="20"/>
  <c r="C388" i="3"/>
  <c r="D389" i="3" s="1"/>
  <c r="C393" i="20" l="1"/>
  <c r="D394" i="20" s="1"/>
  <c r="B394" i="20"/>
  <c r="A397" i="20"/>
  <c r="C389" i="3"/>
  <c r="D390" i="3" s="1"/>
  <c r="C394" i="20" l="1"/>
  <c r="D395" i="20" s="1"/>
  <c r="B395" i="20"/>
  <c r="A398" i="20"/>
  <c r="C390" i="3"/>
  <c r="D391" i="3" s="1"/>
  <c r="C395" i="20" l="1"/>
  <c r="D396" i="20" s="1"/>
  <c r="B396" i="20"/>
  <c r="A399" i="20"/>
  <c r="C391" i="3"/>
  <c r="D392" i="3" s="1"/>
  <c r="C396" i="20" l="1"/>
  <c r="D397" i="20" s="1"/>
  <c r="B397" i="20"/>
  <c r="A400" i="20"/>
  <c r="C392" i="3"/>
  <c r="D393" i="3" s="1"/>
  <c r="C397" i="20" l="1"/>
  <c r="D398" i="20" s="1"/>
  <c r="B398" i="20"/>
  <c r="A401" i="20"/>
  <c r="C393" i="3"/>
  <c r="D394" i="3" s="1"/>
  <c r="C398" i="20" l="1"/>
  <c r="D399" i="20" s="1"/>
  <c r="B399" i="20"/>
  <c r="A402" i="20"/>
  <c r="C394" i="3"/>
  <c r="D395" i="3" s="1"/>
  <c r="C399" i="20" l="1"/>
  <c r="D400" i="20" s="1"/>
  <c r="B400" i="20"/>
  <c r="A403" i="20"/>
  <c r="C395" i="3"/>
  <c r="D396" i="3" s="1"/>
  <c r="C400" i="20" l="1"/>
  <c r="D401" i="20" s="1"/>
  <c r="B401" i="20"/>
  <c r="A404" i="20"/>
  <c r="C396" i="3"/>
  <c r="D397" i="3" s="1"/>
  <c r="C401" i="20" l="1"/>
  <c r="D402" i="20" s="1"/>
  <c r="B402" i="20"/>
  <c r="A405" i="20"/>
  <c r="C397" i="3"/>
  <c r="D398" i="3" s="1"/>
  <c r="C402" i="20" l="1"/>
  <c r="D403" i="20" s="1"/>
  <c r="B403" i="20"/>
  <c r="A406" i="20"/>
  <c r="C398" i="3"/>
  <c r="D399" i="3" s="1"/>
  <c r="C403" i="20" l="1"/>
  <c r="D404" i="20" s="1"/>
  <c r="B404" i="20"/>
  <c r="A407" i="20"/>
  <c r="C399" i="3"/>
  <c r="D400" i="3" s="1"/>
  <c r="C404" i="20" l="1"/>
  <c r="D405" i="20" s="1"/>
  <c r="B405" i="20"/>
  <c r="A408" i="20"/>
  <c r="C400" i="3"/>
  <c r="D401" i="3" s="1"/>
  <c r="C405" i="20" l="1"/>
  <c r="D406" i="20" s="1"/>
  <c r="B406" i="20"/>
  <c r="A409" i="20"/>
  <c r="C401" i="3"/>
  <c r="D402" i="3" s="1"/>
  <c r="C406" i="20" l="1"/>
  <c r="D407" i="20" s="1"/>
  <c r="B407" i="20"/>
  <c r="A410" i="20"/>
  <c r="C402" i="3"/>
  <c r="D403" i="3" s="1"/>
  <c r="C407" i="20" l="1"/>
  <c r="D408" i="20" s="1"/>
  <c r="B408" i="20"/>
  <c r="A411" i="20"/>
  <c r="C403" i="3"/>
  <c r="D404" i="3" s="1"/>
  <c r="C408" i="20" l="1"/>
  <c r="D409" i="20" s="1"/>
  <c r="B409" i="20"/>
  <c r="A412" i="20"/>
  <c r="C404" i="3"/>
  <c r="D405" i="3" s="1"/>
  <c r="C409" i="20" l="1"/>
  <c r="D410" i="20" s="1"/>
  <c r="B410" i="20"/>
  <c r="A413" i="20"/>
  <c r="C405" i="3"/>
  <c r="D406" i="3" s="1"/>
  <c r="C410" i="20" l="1"/>
  <c r="D411" i="20" s="1"/>
  <c r="B411" i="20"/>
  <c r="A414" i="20"/>
  <c r="C406" i="3"/>
  <c r="D407" i="3" s="1"/>
  <c r="C411" i="20" l="1"/>
  <c r="D412" i="20" s="1"/>
  <c r="B412" i="20"/>
  <c r="A415" i="20"/>
  <c r="C407" i="3"/>
  <c r="D408" i="3" s="1"/>
  <c r="C412" i="20" l="1"/>
  <c r="D413" i="20" s="1"/>
  <c r="B413" i="20"/>
  <c r="A416" i="20"/>
  <c r="C408" i="3"/>
  <c r="D409" i="3" s="1"/>
  <c r="C413" i="20" l="1"/>
  <c r="D414" i="20" s="1"/>
  <c r="B414" i="20"/>
  <c r="A417" i="20"/>
  <c r="C409" i="3"/>
  <c r="D410" i="3" s="1"/>
  <c r="C414" i="20" l="1"/>
  <c r="D415" i="20" s="1"/>
  <c r="B415" i="20"/>
  <c r="A418" i="20"/>
  <c r="C410" i="3"/>
  <c r="D411" i="3" s="1"/>
  <c r="C415" i="20" l="1"/>
  <c r="D416" i="20" s="1"/>
  <c r="B416" i="20"/>
  <c r="A419" i="20"/>
  <c r="C411" i="3"/>
  <c r="D412" i="3" s="1"/>
  <c r="C416" i="20" l="1"/>
  <c r="D417" i="20" s="1"/>
  <c r="B417" i="20"/>
  <c r="A420" i="20"/>
  <c r="C412" i="3"/>
  <c r="D413" i="3" s="1"/>
  <c r="C417" i="20" l="1"/>
  <c r="D418" i="20" s="1"/>
  <c r="B418" i="20"/>
  <c r="A421" i="20"/>
  <c r="C413" i="3"/>
  <c r="D414" i="3" s="1"/>
  <c r="C418" i="20" l="1"/>
  <c r="D419" i="20" s="1"/>
  <c r="B419" i="20"/>
  <c r="A422" i="20"/>
  <c r="C414" i="3"/>
  <c r="D415" i="3" s="1"/>
  <c r="C419" i="20" l="1"/>
  <c r="D420" i="20" s="1"/>
  <c r="B420" i="20"/>
  <c r="A423" i="20"/>
  <c r="C415" i="3"/>
  <c r="D416" i="3" s="1"/>
  <c r="C420" i="20" l="1"/>
  <c r="D421" i="20" s="1"/>
  <c r="B421" i="20"/>
  <c r="A424" i="20"/>
  <c r="C416" i="3"/>
  <c r="D417" i="3" s="1"/>
  <c r="C421" i="20" l="1"/>
  <c r="D422" i="20" s="1"/>
  <c r="B422" i="20"/>
  <c r="A425" i="20"/>
  <c r="C417" i="3"/>
  <c r="D418" i="3" s="1"/>
  <c r="C422" i="20" l="1"/>
  <c r="D423" i="20" s="1"/>
  <c r="B423" i="20"/>
  <c r="A426" i="20"/>
  <c r="C418" i="3"/>
  <c r="D419" i="3" s="1"/>
  <c r="C423" i="20" l="1"/>
  <c r="D424" i="20" s="1"/>
  <c r="B424" i="20"/>
  <c r="A427" i="20"/>
  <c r="C419" i="3"/>
  <c r="D420" i="3" s="1"/>
  <c r="C424" i="20" l="1"/>
  <c r="D425" i="20" s="1"/>
  <c r="B425" i="20"/>
  <c r="A428" i="20"/>
  <c r="C420" i="3"/>
  <c r="D421" i="3" s="1"/>
  <c r="C425" i="20" l="1"/>
  <c r="D426" i="20" s="1"/>
  <c r="B426" i="20"/>
  <c r="A429" i="20"/>
  <c r="C421" i="3"/>
  <c r="D422" i="3" s="1"/>
  <c r="C426" i="20" l="1"/>
  <c r="D427" i="20" s="1"/>
  <c r="B427" i="20"/>
  <c r="A430" i="20"/>
  <c r="C422" i="3"/>
  <c r="D423" i="3" s="1"/>
  <c r="C427" i="20" l="1"/>
  <c r="D428" i="20" s="1"/>
  <c r="B428" i="20"/>
  <c r="A431" i="20"/>
  <c r="C423" i="3"/>
  <c r="D424" i="3" s="1"/>
  <c r="C428" i="20" l="1"/>
  <c r="D429" i="20" s="1"/>
  <c r="B429" i="20"/>
  <c r="A432" i="20"/>
  <c r="C424" i="3"/>
  <c r="D425" i="3" s="1"/>
  <c r="C429" i="20" l="1"/>
  <c r="D430" i="20" s="1"/>
  <c r="B430" i="20"/>
  <c r="A433" i="20"/>
  <c r="C425" i="3"/>
  <c r="D426" i="3" s="1"/>
  <c r="C430" i="20" l="1"/>
  <c r="D431" i="20" s="1"/>
  <c r="B431" i="20"/>
  <c r="A434" i="20"/>
  <c r="C426" i="3"/>
  <c r="D427" i="3" s="1"/>
  <c r="C431" i="20" l="1"/>
  <c r="D432" i="20" s="1"/>
  <c r="B432" i="20"/>
  <c r="A435" i="20"/>
  <c r="C427" i="3"/>
  <c r="D428" i="3" s="1"/>
  <c r="C432" i="20" l="1"/>
  <c r="D433" i="20" s="1"/>
  <c r="B433" i="20"/>
  <c r="A436" i="20"/>
  <c r="C428" i="3"/>
  <c r="D429" i="3" s="1"/>
  <c r="C433" i="20" l="1"/>
  <c r="D434" i="20" s="1"/>
  <c r="B434" i="20"/>
  <c r="A437" i="20"/>
  <c r="C429" i="3"/>
  <c r="D430" i="3" s="1"/>
  <c r="C434" i="20" l="1"/>
  <c r="D435" i="20" s="1"/>
  <c r="B435" i="20"/>
  <c r="A438" i="20"/>
  <c r="C430" i="3"/>
  <c r="D431" i="3" s="1"/>
  <c r="C435" i="20" l="1"/>
  <c r="D436" i="20" s="1"/>
  <c r="B436" i="20"/>
  <c r="A439" i="20"/>
  <c r="C431" i="3"/>
  <c r="D432" i="3" s="1"/>
  <c r="C436" i="20" l="1"/>
  <c r="D437" i="20" s="1"/>
  <c r="B437" i="20"/>
  <c r="A440" i="20"/>
  <c r="C432" i="3"/>
  <c r="D433" i="3" s="1"/>
  <c r="C437" i="20" l="1"/>
  <c r="D438" i="20" s="1"/>
  <c r="B438" i="20"/>
  <c r="A441" i="20"/>
  <c r="C433" i="3"/>
  <c r="D434" i="3" s="1"/>
  <c r="C438" i="20" l="1"/>
  <c r="D439" i="20" s="1"/>
  <c r="B439" i="20"/>
  <c r="A442" i="20"/>
  <c r="C434" i="3"/>
  <c r="D435" i="3" s="1"/>
  <c r="C439" i="20" l="1"/>
  <c r="D440" i="20" s="1"/>
  <c r="B440" i="20"/>
  <c r="A443" i="20"/>
  <c r="C435" i="3"/>
  <c r="D436" i="3" s="1"/>
  <c r="C440" i="20" l="1"/>
  <c r="D441" i="20" s="1"/>
  <c r="B441" i="20"/>
  <c r="A444" i="20"/>
  <c r="C436" i="3"/>
  <c r="D437" i="3" s="1"/>
  <c r="C441" i="20" l="1"/>
  <c r="D442" i="20" s="1"/>
  <c r="B442" i="20"/>
  <c r="A445" i="20"/>
  <c r="C437" i="3"/>
  <c r="D438" i="3" s="1"/>
  <c r="C442" i="20" l="1"/>
  <c r="D443" i="20" s="1"/>
  <c r="B443" i="20"/>
  <c r="A446" i="20"/>
  <c r="C438" i="3"/>
  <c r="D439" i="3" s="1"/>
  <c r="C443" i="20" l="1"/>
  <c r="D444" i="20" s="1"/>
  <c r="B444" i="20"/>
  <c r="A447" i="20"/>
  <c r="C439" i="3"/>
  <c r="D440" i="3" s="1"/>
  <c r="C444" i="20" l="1"/>
  <c r="D445" i="20" s="1"/>
  <c r="B445" i="20"/>
  <c r="A448" i="20"/>
  <c r="C440" i="3"/>
  <c r="D441" i="3" s="1"/>
  <c r="C445" i="20" l="1"/>
  <c r="D446" i="20" s="1"/>
  <c r="B446" i="20"/>
  <c r="A449" i="20"/>
  <c r="C441" i="3"/>
  <c r="D442" i="3" s="1"/>
  <c r="C446" i="20" l="1"/>
  <c r="D447" i="20" s="1"/>
  <c r="B447" i="20"/>
  <c r="A450" i="20"/>
  <c r="C442" i="3"/>
  <c r="D443" i="3" s="1"/>
  <c r="C447" i="20" l="1"/>
  <c r="D448" i="20" s="1"/>
  <c r="B448" i="20"/>
  <c r="A451" i="20"/>
  <c r="C443" i="3"/>
  <c r="D444" i="3" s="1"/>
  <c r="C448" i="20" l="1"/>
  <c r="D449" i="20" s="1"/>
  <c r="B449" i="20"/>
  <c r="A452" i="20"/>
  <c r="C444" i="3"/>
  <c r="D445" i="3" s="1"/>
  <c r="C449" i="20" l="1"/>
  <c r="D450" i="20" s="1"/>
  <c r="B450" i="20"/>
  <c r="A453" i="20"/>
  <c r="C445" i="3"/>
  <c r="D446" i="3" s="1"/>
  <c r="C450" i="20" l="1"/>
  <c r="D451" i="20" s="1"/>
  <c r="B451" i="20"/>
  <c r="A454" i="20"/>
  <c r="C446" i="3"/>
  <c r="D447" i="3" s="1"/>
  <c r="C451" i="20" l="1"/>
  <c r="D452" i="20" s="1"/>
  <c r="B452" i="20"/>
  <c r="A455" i="20"/>
  <c r="C447" i="3"/>
  <c r="D448" i="3" s="1"/>
  <c r="C452" i="20" l="1"/>
  <c r="D453" i="20" s="1"/>
  <c r="B453" i="20"/>
  <c r="A456" i="20"/>
  <c r="C448" i="3"/>
  <c r="D449" i="3" s="1"/>
  <c r="C453" i="20" l="1"/>
  <c r="D454" i="20" s="1"/>
  <c r="B454" i="20"/>
  <c r="A457" i="20"/>
  <c r="C449" i="3"/>
  <c r="D450" i="3" s="1"/>
  <c r="C454" i="20" l="1"/>
  <c r="D455" i="20" s="1"/>
  <c r="B455" i="20"/>
  <c r="A458" i="20"/>
  <c r="C450" i="3"/>
  <c r="D451" i="3" s="1"/>
  <c r="C455" i="20" l="1"/>
  <c r="D456" i="20" s="1"/>
  <c r="B456" i="20"/>
  <c r="A459" i="20"/>
  <c r="C451" i="3"/>
  <c r="D452" i="3" s="1"/>
  <c r="C456" i="20" l="1"/>
  <c r="D457" i="20" s="1"/>
  <c r="B457" i="20"/>
  <c r="A460" i="20"/>
  <c r="C452" i="3"/>
  <c r="D453" i="3" s="1"/>
  <c r="C457" i="20" l="1"/>
  <c r="D458" i="20" s="1"/>
  <c r="B458" i="20"/>
  <c r="A461" i="20"/>
  <c r="C453" i="3"/>
  <c r="D454" i="3" s="1"/>
  <c r="C458" i="20" l="1"/>
  <c r="D459" i="20" s="1"/>
  <c r="B459" i="20"/>
  <c r="A462" i="20"/>
  <c r="C454" i="3"/>
  <c r="D455" i="3" s="1"/>
  <c r="C459" i="20" l="1"/>
  <c r="D460" i="20" s="1"/>
  <c r="B460" i="20"/>
  <c r="A463" i="20"/>
  <c r="C455" i="3"/>
  <c r="D456" i="3" s="1"/>
  <c r="C460" i="20" l="1"/>
  <c r="D461" i="20" s="1"/>
  <c r="B461" i="20"/>
  <c r="A464" i="20"/>
  <c r="C456" i="3"/>
  <c r="D457" i="3" s="1"/>
  <c r="C461" i="20" l="1"/>
  <c r="D462" i="20" s="1"/>
  <c r="B462" i="20"/>
  <c r="A465" i="20"/>
  <c r="C457" i="3"/>
  <c r="D458" i="3" s="1"/>
  <c r="C462" i="20" l="1"/>
  <c r="D463" i="20" s="1"/>
  <c r="B463" i="20"/>
  <c r="A466" i="20"/>
  <c r="C458" i="3"/>
  <c r="D459" i="3" s="1"/>
  <c r="C463" i="20" l="1"/>
  <c r="D464" i="20" s="1"/>
  <c r="B464" i="20"/>
  <c r="A467" i="20"/>
  <c r="C459" i="3"/>
  <c r="D460" i="3" s="1"/>
  <c r="C464" i="20" l="1"/>
  <c r="D465" i="20" s="1"/>
  <c r="B465" i="20"/>
  <c r="A468" i="20"/>
  <c r="C460" i="3"/>
  <c r="D461" i="3" s="1"/>
  <c r="C465" i="20" l="1"/>
  <c r="D466" i="20" s="1"/>
  <c r="B466" i="20"/>
  <c r="A469" i="20"/>
  <c r="C461" i="3"/>
  <c r="D462" i="3" s="1"/>
  <c r="C466" i="20" l="1"/>
  <c r="D467" i="20" s="1"/>
  <c r="B467" i="20"/>
  <c r="A470" i="20"/>
  <c r="C462" i="3"/>
  <c r="D463" i="3" s="1"/>
  <c r="C467" i="20" l="1"/>
  <c r="D468" i="20" s="1"/>
  <c r="B468" i="20"/>
  <c r="A471" i="20"/>
  <c r="C463" i="3"/>
  <c r="D464" i="3" s="1"/>
  <c r="C468" i="20" l="1"/>
  <c r="D469" i="20" s="1"/>
  <c r="B469" i="20"/>
  <c r="A472" i="20"/>
  <c r="C464" i="3"/>
  <c r="D465" i="3" s="1"/>
  <c r="C469" i="20" l="1"/>
  <c r="D470" i="20" s="1"/>
  <c r="B470" i="20"/>
  <c r="A473" i="20"/>
  <c r="C465" i="3"/>
  <c r="D466" i="3" s="1"/>
  <c r="C470" i="20" l="1"/>
  <c r="D471" i="20" s="1"/>
  <c r="B471" i="20"/>
  <c r="A474" i="20"/>
  <c r="C466" i="3"/>
  <c r="D467" i="3" s="1"/>
  <c r="C471" i="20" l="1"/>
  <c r="D472" i="20" s="1"/>
  <c r="B472" i="20"/>
  <c r="A475" i="20"/>
  <c r="C467" i="3"/>
  <c r="D468" i="3" s="1"/>
  <c r="C472" i="20" l="1"/>
  <c r="D473" i="20" s="1"/>
  <c r="B473" i="20"/>
  <c r="A476" i="20"/>
  <c r="C468" i="3"/>
  <c r="D469" i="3" s="1"/>
  <c r="C473" i="20" l="1"/>
  <c r="D474" i="20" s="1"/>
  <c r="B474" i="20"/>
  <c r="A477" i="20"/>
  <c r="C469" i="3"/>
  <c r="D470" i="3" s="1"/>
  <c r="C474" i="20" l="1"/>
  <c r="D475" i="20" s="1"/>
  <c r="B475" i="20"/>
  <c r="A478" i="20"/>
  <c r="C470" i="3"/>
  <c r="D471" i="3" s="1"/>
  <c r="C475" i="20" l="1"/>
  <c r="D476" i="20" s="1"/>
  <c r="B476" i="20"/>
  <c r="A479" i="20"/>
  <c r="C471" i="3"/>
  <c r="D472" i="3" s="1"/>
  <c r="C476" i="20" l="1"/>
  <c r="D477" i="20" s="1"/>
  <c r="B477" i="20"/>
  <c r="A480" i="20"/>
  <c r="C472" i="3"/>
  <c r="D473" i="3" s="1"/>
  <c r="C477" i="20" l="1"/>
  <c r="D478" i="20" s="1"/>
  <c r="B478" i="20"/>
  <c r="A481" i="20"/>
  <c r="C473" i="3"/>
  <c r="D474" i="3" s="1"/>
  <c r="C478" i="20" l="1"/>
  <c r="D479" i="20" s="1"/>
  <c r="B479" i="20"/>
  <c r="A482" i="20"/>
  <c r="C474" i="3"/>
  <c r="D475" i="3" s="1"/>
  <c r="C479" i="20" l="1"/>
  <c r="D480" i="20" s="1"/>
  <c r="B480" i="20"/>
  <c r="A483" i="20"/>
  <c r="C475" i="3"/>
  <c r="D476" i="3" s="1"/>
  <c r="C480" i="20" l="1"/>
  <c r="D481" i="20" s="1"/>
  <c r="B481" i="20"/>
  <c r="A484" i="20"/>
  <c r="C476" i="3"/>
  <c r="D477" i="3" s="1"/>
  <c r="C481" i="20" l="1"/>
  <c r="D482" i="20" s="1"/>
  <c r="B482" i="20"/>
  <c r="A485" i="20"/>
  <c r="C477" i="3"/>
  <c r="D478" i="3" s="1"/>
  <c r="C482" i="20" l="1"/>
  <c r="D483" i="20" s="1"/>
  <c r="B483" i="20"/>
  <c r="A486" i="20"/>
  <c r="C478" i="3"/>
  <c r="D479" i="3" s="1"/>
  <c r="C483" i="20" l="1"/>
  <c r="D484" i="20" s="1"/>
  <c r="B484" i="20"/>
  <c r="A487" i="20"/>
  <c r="C479" i="3"/>
  <c r="D480" i="3" s="1"/>
  <c r="C484" i="20" l="1"/>
  <c r="D485" i="20" s="1"/>
  <c r="B485" i="20"/>
  <c r="A488" i="20"/>
  <c r="C480" i="3"/>
  <c r="D481" i="3" s="1"/>
  <c r="C485" i="20" l="1"/>
  <c r="D486" i="20" s="1"/>
  <c r="B486" i="20"/>
  <c r="A489" i="20"/>
  <c r="C481" i="3"/>
  <c r="D482" i="3" s="1"/>
  <c r="C486" i="20" l="1"/>
  <c r="D487" i="20" s="1"/>
  <c r="B487" i="20"/>
  <c r="A490" i="20"/>
  <c r="C482" i="3"/>
  <c r="D483" i="3" s="1"/>
  <c r="C487" i="20" l="1"/>
  <c r="D488" i="20" s="1"/>
  <c r="B488" i="20"/>
  <c r="A491" i="20"/>
  <c r="C483" i="3"/>
  <c r="D484" i="3" s="1"/>
  <c r="C488" i="20" l="1"/>
  <c r="D489" i="20" s="1"/>
  <c r="B489" i="20"/>
  <c r="A492" i="20"/>
  <c r="C484" i="3"/>
  <c r="D485" i="3" s="1"/>
  <c r="C489" i="20" l="1"/>
  <c r="D490" i="20" s="1"/>
  <c r="B490" i="20"/>
  <c r="A493" i="20"/>
  <c r="C485" i="3"/>
  <c r="D486" i="3" s="1"/>
  <c r="C490" i="20" l="1"/>
  <c r="D491" i="20" s="1"/>
  <c r="B491" i="20"/>
  <c r="A494" i="20"/>
  <c r="C486" i="3"/>
  <c r="D487" i="3" s="1"/>
  <c r="C491" i="20" l="1"/>
  <c r="D492" i="20" s="1"/>
  <c r="B492" i="20"/>
  <c r="A495" i="20"/>
  <c r="C487" i="3"/>
  <c r="D488" i="3" s="1"/>
  <c r="C492" i="20" l="1"/>
  <c r="D493" i="20" s="1"/>
  <c r="B493" i="20"/>
  <c r="A496" i="20"/>
  <c r="C488" i="3"/>
  <c r="D489" i="3" s="1"/>
  <c r="C493" i="20" l="1"/>
  <c r="D494" i="20" s="1"/>
  <c r="B494" i="20"/>
  <c r="A497" i="20"/>
  <c r="C489" i="3"/>
  <c r="D490" i="3" s="1"/>
  <c r="C494" i="20" l="1"/>
  <c r="D495" i="20" s="1"/>
  <c r="B495" i="20"/>
  <c r="A498" i="20"/>
  <c r="C490" i="3"/>
  <c r="D491" i="3" s="1"/>
  <c r="C495" i="20" l="1"/>
  <c r="D496" i="20" s="1"/>
  <c r="B496" i="20"/>
  <c r="A499" i="20"/>
  <c r="C491" i="3"/>
  <c r="D492" i="3" s="1"/>
  <c r="C496" i="20" l="1"/>
  <c r="D497" i="20" s="1"/>
  <c r="B497" i="20"/>
  <c r="A500" i="20"/>
  <c r="C492" i="3"/>
  <c r="D493" i="3" s="1"/>
  <c r="C497" i="20" l="1"/>
  <c r="D498" i="20" s="1"/>
  <c r="B498" i="20"/>
  <c r="A501" i="20"/>
  <c r="C493" i="3"/>
  <c r="D494" i="3" s="1"/>
  <c r="C498" i="20" l="1"/>
  <c r="D499" i="20" s="1"/>
  <c r="B499" i="20"/>
  <c r="A502" i="20"/>
  <c r="C494" i="3"/>
  <c r="D495" i="3" s="1"/>
  <c r="C499" i="20" l="1"/>
  <c r="D500" i="20" s="1"/>
  <c r="B500" i="20"/>
  <c r="A503" i="20"/>
  <c r="C495" i="3"/>
  <c r="D496" i="3" s="1"/>
  <c r="C500" i="20" l="1"/>
  <c r="D501" i="20" s="1"/>
  <c r="B501" i="20"/>
  <c r="A504" i="20"/>
  <c r="C496" i="3"/>
  <c r="D497" i="3" s="1"/>
  <c r="C501" i="20" l="1"/>
  <c r="D502" i="20" s="1"/>
  <c r="B502" i="20"/>
  <c r="A505" i="20"/>
  <c r="C497" i="3"/>
  <c r="D498" i="3" s="1"/>
  <c r="C502" i="20" l="1"/>
  <c r="D503" i="20" s="1"/>
  <c r="B503" i="20"/>
  <c r="A506" i="20"/>
  <c r="C498" i="3"/>
  <c r="D499" i="3" s="1"/>
  <c r="C503" i="20" l="1"/>
  <c r="D504" i="20" s="1"/>
  <c r="B504" i="20"/>
  <c r="A507" i="20"/>
  <c r="C499" i="3"/>
  <c r="D500" i="3" s="1"/>
  <c r="C504" i="20" l="1"/>
  <c r="D505" i="20" s="1"/>
  <c r="B505" i="20"/>
  <c r="A508" i="20"/>
  <c r="C500" i="3"/>
  <c r="D501" i="3" s="1"/>
  <c r="C505" i="20" l="1"/>
  <c r="D506" i="20" s="1"/>
  <c r="B506" i="20"/>
  <c r="A509" i="20"/>
  <c r="C501" i="3"/>
  <c r="D502" i="3" s="1"/>
  <c r="C506" i="20" l="1"/>
  <c r="D507" i="20" s="1"/>
  <c r="B507" i="20"/>
  <c r="A510" i="20"/>
  <c r="C502" i="3"/>
  <c r="D503" i="3" s="1"/>
  <c r="C507" i="20" l="1"/>
  <c r="D508" i="20" s="1"/>
  <c r="B508" i="20"/>
  <c r="A511" i="20"/>
  <c r="C503" i="3"/>
  <c r="D504" i="3" s="1"/>
  <c r="C508" i="20" l="1"/>
  <c r="D509" i="20" s="1"/>
  <c r="B509" i="20"/>
  <c r="A512" i="20"/>
  <c r="C504" i="3"/>
  <c r="D505" i="3" s="1"/>
  <c r="C509" i="20" l="1"/>
  <c r="D510" i="20" s="1"/>
  <c r="B510" i="20"/>
  <c r="A513" i="20"/>
  <c r="C505" i="3"/>
  <c r="D506" i="3" s="1"/>
  <c r="C510" i="20" l="1"/>
  <c r="D511" i="20" s="1"/>
  <c r="B511" i="20"/>
  <c r="A514" i="20"/>
  <c r="C506" i="3"/>
  <c r="D507" i="3" s="1"/>
  <c r="C511" i="20" l="1"/>
  <c r="D512" i="20" s="1"/>
  <c r="B512" i="20"/>
  <c r="A515" i="20"/>
  <c r="C507" i="3"/>
  <c r="D508" i="3" s="1"/>
  <c r="C512" i="20" l="1"/>
  <c r="D513" i="20" s="1"/>
  <c r="B513" i="20"/>
  <c r="A516" i="20"/>
  <c r="C508" i="3"/>
  <c r="D509" i="3" s="1"/>
  <c r="C513" i="20" l="1"/>
  <c r="D514" i="20" s="1"/>
  <c r="B514" i="20"/>
  <c r="A517" i="20"/>
  <c r="C509" i="3"/>
  <c r="D510" i="3" s="1"/>
  <c r="C514" i="20" l="1"/>
  <c r="D515" i="20" s="1"/>
  <c r="B515" i="20"/>
  <c r="A518" i="20"/>
  <c r="C510" i="3"/>
  <c r="D511" i="3" s="1"/>
  <c r="C515" i="20" l="1"/>
  <c r="D516" i="20" s="1"/>
  <c r="B516" i="20"/>
  <c r="A519" i="20"/>
  <c r="C511" i="3"/>
  <c r="D512" i="3" s="1"/>
  <c r="C516" i="20" l="1"/>
  <c r="D517" i="20" s="1"/>
  <c r="B517" i="20"/>
  <c r="A520" i="20"/>
  <c r="C512" i="3"/>
  <c r="D513" i="3" s="1"/>
  <c r="C517" i="20" l="1"/>
  <c r="D518" i="20" s="1"/>
  <c r="B518" i="20"/>
  <c r="A521" i="20"/>
  <c r="C513" i="3"/>
  <c r="D514" i="3" s="1"/>
  <c r="C518" i="20" l="1"/>
  <c r="D519" i="20" s="1"/>
  <c r="B519" i="20"/>
  <c r="A522" i="20"/>
  <c r="C514" i="3"/>
  <c r="D515" i="3" s="1"/>
  <c r="C519" i="20" l="1"/>
  <c r="D520" i="20" s="1"/>
  <c r="B520" i="20"/>
  <c r="A523" i="20"/>
  <c r="C515" i="3"/>
  <c r="D516" i="3" s="1"/>
  <c r="C520" i="20" l="1"/>
  <c r="D521" i="20" s="1"/>
  <c r="B521" i="20"/>
  <c r="A524" i="20"/>
  <c r="C516" i="3"/>
  <c r="D517" i="3" s="1"/>
  <c r="C521" i="20" l="1"/>
  <c r="D522" i="20" s="1"/>
  <c r="B522" i="20"/>
  <c r="A525" i="20"/>
  <c r="C517" i="3"/>
  <c r="D518" i="3" s="1"/>
  <c r="C522" i="20" l="1"/>
  <c r="D523" i="20" s="1"/>
  <c r="B523" i="20"/>
  <c r="A526" i="20"/>
  <c r="C518" i="3"/>
  <c r="D519" i="3" s="1"/>
  <c r="C523" i="20" l="1"/>
  <c r="D524" i="20" s="1"/>
  <c r="B524" i="20"/>
  <c r="A527" i="20"/>
  <c r="C519" i="3"/>
  <c r="D520" i="3" s="1"/>
  <c r="C524" i="20" l="1"/>
  <c r="D525" i="20" s="1"/>
  <c r="B525" i="20"/>
  <c r="A528" i="20"/>
  <c r="C520" i="3"/>
  <c r="D521" i="3" s="1"/>
  <c r="C525" i="20" l="1"/>
  <c r="D526" i="20" s="1"/>
  <c r="B526" i="20"/>
  <c r="A529" i="20"/>
  <c r="C521" i="3"/>
  <c r="D522" i="3" s="1"/>
  <c r="C526" i="20" l="1"/>
  <c r="D527" i="20" s="1"/>
  <c r="B527" i="20"/>
  <c r="A530" i="20"/>
  <c r="C522" i="3"/>
  <c r="D523" i="3" s="1"/>
  <c r="C527" i="20" l="1"/>
  <c r="D528" i="20" s="1"/>
  <c r="B528" i="20"/>
  <c r="A531" i="20"/>
  <c r="C523" i="3"/>
  <c r="D524" i="3" s="1"/>
  <c r="C528" i="20" l="1"/>
  <c r="D529" i="20" s="1"/>
  <c r="B529" i="20"/>
  <c r="A532" i="20"/>
  <c r="C524" i="3"/>
  <c r="D525" i="3" s="1"/>
  <c r="C529" i="20" l="1"/>
  <c r="D530" i="20" s="1"/>
  <c r="B530" i="20"/>
  <c r="A533" i="20"/>
  <c r="C525" i="3"/>
  <c r="D526" i="3" s="1"/>
  <c r="C530" i="20" l="1"/>
  <c r="D531" i="20" s="1"/>
  <c r="B531" i="20"/>
  <c r="A534" i="20"/>
  <c r="C526" i="3"/>
  <c r="D527" i="3" s="1"/>
  <c r="C531" i="20" l="1"/>
  <c r="D532" i="20" s="1"/>
  <c r="B532" i="20"/>
  <c r="A535" i="20"/>
  <c r="C527" i="3"/>
  <c r="D528" i="3" s="1"/>
  <c r="C532" i="20" l="1"/>
  <c r="D533" i="20" s="1"/>
  <c r="B533" i="20"/>
  <c r="A536" i="20"/>
  <c r="C528" i="3"/>
  <c r="D529" i="3" s="1"/>
  <c r="C533" i="20" l="1"/>
  <c r="D534" i="20" s="1"/>
  <c r="B534" i="20"/>
  <c r="A537" i="20"/>
  <c r="C529" i="3"/>
  <c r="D530" i="3" s="1"/>
  <c r="C534" i="20" l="1"/>
  <c r="D535" i="20" s="1"/>
  <c r="B535" i="20"/>
  <c r="A538" i="20"/>
  <c r="C530" i="3"/>
  <c r="D531" i="3" s="1"/>
  <c r="C535" i="20" l="1"/>
  <c r="D536" i="20" s="1"/>
  <c r="B536" i="20"/>
  <c r="A539" i="20"/>
  <c r="C531" i="3"/>
  <c r="D532" i="3" s="1"/>
  <c r="C536" i="20" l="1"/>
  <c r="D537" i="20" s="1"/>
  <c r="B537" i="20"/>
  <c r="A540" i="20"/>
  <c r="C532" i="3"/>
  <c r="D533" i="3" s="1"/>
  <c r="C537" i="20" l="1"/>
  <c r="D538" i="20" s="1"/>
  <c r="B538" i="20"/>
  <c r="A541" i="20"/>
  <c r="C533" i="3"/>
  <c r="D534" i="3" s="1"/>
  <c r="C538" i="20" l="1"/>
  <c r="D539" i="20" s="1"/>
  <c r="B539" i="20"/>
  <c r="A542" i="20"/>
  <c r="C534" i="3"/>
  <c r="D535" i="3" s="1"/>
  <c r="C539" i="20" l="1"/>
  <c r="D540" i="20" s="1"/>
  <c r="B540" i="20"/>
  <c r="A543" i="20"/>
  <c r="C535" i="3"/>
  <c r="D536" i="3" s="1"/>
  <c r="C540" i="20" l="1"/>
  <c r="D541" i="20" s="1"/>
  <c r="B541" i="20"/>
  <c r="A544" i="20"/>
  <c r="C536" i="3"/>
  <c r="D537" i="3" s="1"/>
  <c r="C541" i="20" l="1"/>
  <c r="D542" i="20" s="1"/>
  <c r="B542" i="20"/>
  <c r="A545" i="20"/>
  <c r="C537" i="3"/>
  <c r="D538" i="3" s="1"/>
  <c r="C542" i="20" l="1"/>
  <c r="D543" i="20" s="1"/>
  <c r="B543" i="20"/>
  <c r="A546" i="20"/>
  <c r="C538" i="3"/>
  <c r="D539" i="3" s="1"/>
  <c r="C543" i="20" l="1"/>
  <c r="D544" i="20" s="1"/>
  <c r="B544" i="20"/>
  <c r="A547" i="20"/>
  <c r="C539" i="3"/>
  <c r="D540" i="3" s="1"/>
  <c r="C544" i="20" l="1"/>
  <c r="D545" i="20" s="1"/>
  <c r="B545" i="20"/>
  <c r="A548" i="20"/>
  <c r="C540" i="3"/>
  <c r="D541" i="3" s="1"/>
  <c r="C545" i="20" l="1"/>
  <c r="D546" i="20" s="1"/>
  <c r="B546" i="20"/>
  <c r="A549" i="20"/>
  <c r="C541" i="3"/>
  <c r="D542" i="3" s="1"/>
  <c r="C546" i="20" l="1"/>
  <c r="D547" i="20" s="1"/>
  <c r="B547" i="20"/>
  <c r="A550" i="20"/>
  <c r="C542" i="3"/>
  <c r="D543" i="3" s="1"/>
  <c r="C547" i="20" l="1"/>
  <c r="D548" i="20" s="1"/>
  <c r="B548" i="20"/>
  <c r="A551" i="20"/>
  <c r="C543" i="3"/>
  <c r="D544" i="3" s="1"/>
  <c r="C548" i="20" l="1"/>
  <c r="D549" i="20" s="1"/>
  <c r="B549" i="20"/>
  <c r="A552" i="20"/>
  <c r="C544" i="3"/>
  <c r="D545" i="3" s="1"/>
  <c r="C549" i="20" l="1"/>
  <c r="D550" i="20" s="1"/>
  <c r="B550" i="20"/>
  <c r="A553" i="20"/>
  <c r="C545" i="3"/>
  <c r="D546" i="3" s="1"/>
  <c r="C550" i="20" l="1"/>
  <c r="D551" i="20" s="1"/>
  <c r="B551" i="20"/>
  <c r="A554" i="20"/>
  <c r="C546" i="3"/>
  <c r="D547" i="3" s="1"/>
  <c r="C551" i="20" l="1"/>
  <c r="D552" i="20" s="1"/>
  <c r="B552" i="20"/>
  <c r="A555" i="20"/>
  <c r="C547" i="3"/>
  <c r="D548" i="3" s="1"/>
  <c r="C552" i="20" l="1"/>
  <c r="D553" i="20" s="1"/>
  <c r="B553" i="20"/>
  <c r="A556" i="20"/>
  <c r="C548" i="3"/>
  <c r="D549" i="3" s="1"/>
  <c r="C553" i="20" l="1"/>
  <c r="D554" i="20" s="1"/>
  <c r="B554" i="20"/>
  <c r="A557" i="20"/>
  <c r="C549" i="3"/>
  <c r="D550" i="3" s="1"/>
  <c r="C554" i="20" l="1"/>
  <c r="D555" i="20" s="1"/>
  <c r="B555" i="20"/>
  <c r="A558" i="20"/>
  <c r="C550" i="3"/>
  <c r="D551" i="3" s="1"/>
  <c r="C555" i="20" l="1"/>
  <c r="D556" i="20" s="1"/>
  <c r="B556" i="20"/>
  <c r="A559" i="20"/>
  <c r="C551" i="3"/>
  <c r="D552" i="3" s="1"/>
  <c r="C556" i="20" l="1"/>
  <c r="D557" i="20" s="1"/>
  <c r="B557" i="20"/>
  <c r="A560" i="20"/>
  <c r="C552" i="3"/>
  <c r="D553" i="3" s="1"/>
  <c r="C557" i="20" l="1"/>
  <c r="D558" i="20" s="1"/>
  <c r="B558" i="20"/>
  <c r="A561" i="20"/>
  <c r="C553" i="3"/>
  <c r="D554" i="3" s="1"/>
  <c r="C558" i="20" l="1"/>
  <c r="D559" i="20" s="1"/>
  <c r="B559" i="20"/>
  <c r="A562" i="20"/>
  <c r="C554" i="3"/>
  <c r="D555" i="3" s="1"/>
  <c r="C559" i="20" l="1"/>
  <c r="D560" i="20" s="1"/>
  <c r="B560" i="20"/>
  <c r="A563" i="20"/>
  <c r="C555" i="3"/>
  <c r="D556" i="3" s="1"/>
  <c r="C560" i="20" l="1"/>
  <c r="D561" i="20" s="1"/>
  <c r="B561" i="20"/>
  <c r="A564" i="20"/>
  <c r="C556" i="3"/>
  <c r="D557" i="3" s="1"/>
  <c r="C561" i="20" l="1"/>
  <c r="D562" i="20" s="1"/>
  <c r="B562" i="20"/>
  <c r="A565" i="20"/>
  <c r="C557" i="3"/>
  <c r="D558" i="3" s="1"/>
  <c r="C562" i="20" l="1"/>
  <c r="D563" i="20" s="1"/>
  <c r="B563" i="20"/>
  <c r="A566" i="20"/>
  <c r="C558" i="3"/>
  <c r="D559" i="3" s="1"/>
  <c r="C563" i="20" l="1"/>
  <c r="D564" i="20" s="1"/>
  <c r="B564" i="20"/>
  <c r="A567" i="20"/>
  <c r="C559" i="3"/>
  <c r="D560" i="3" s="1"/>
  <c r="C564" i="20" l="1"/>
  <c r="D565" i="20" s="1"/>
  <c r="B565" i="20"/>
  <c r="A568" i="20"/>
  <c r="C560" i="3"/>
  <c r="D561" i="3" s="1"/>
  <c r="C565" i="20" l="1"/>
  <c r="D566" i="20" s="1"/>
  <c r="B566" i="20"/>
  <c r="A569" i="20"/>
  <c r="C561" i="3"/>
  <c r="D562" i="3" s="1"/>
  <c r="C566" i="20" l="1"/>
  <c r="D567" i="20" s="1"/>
  <c r="B567" i="20"/>
  <c r="A570" i="20"/>
  <c r="C562" i="3"/>
  <c r="D563" i="3" s="1"/>
  <c r="C567" i="20" l="1"/>
  <c r="D568" i="20" s="1"/>
  <c r="B568" i="20"/>
  <c r="A571" i="20"/>
  <c r="C563" i="3"/>
  <c r="D564" i="3" s="1"/>
  <c r="C568" i="20" l="1"/>
  <c r="D569" i="20" s="1"/>
  <c r="B569" i="20"/>
  <c r="A572" i="20"/>
  <c r="C564" i="3"/>
  <c r="D565" i="3" s="1"/>
  <c r="C569" i="20" l="1"/>
  <c r="D570" i="20" s="1"/>
  <c r="B570" i="20"/>
  <c r="A573" i="20"/>
  <c r="C565" i="3"/>
  <c r="D566" i="3" s="1"/>
  <c r="C570" i="20" l="1"/>
  <c r="D571" i="20" s="1"/>
  <c r="B571" i="20"/>
  <c r="A574" i="20"/>
  <c r="C566" i="3"/>
  <c r="D567" i="3" s="1"/>
  <c r="C571" i="20" l="1"/>
  <c r="D572" i="20" s="1"/>
  <c r="B572" i="20"/>
  <c r="A575" i="20"/>
  <c r="C567" i="3"/>
  <c r="D568" i="3" s="1"/>
  <c r="C572" i="20" l="1"/>
  <c r="D573" i="20" s="1"/>
  <c r="B573" i="20"/>
  <c r="A576" i="20"/>
  <c r="C568" i="3"/>
  <c r="D569" i="3" s="1"/>
  <c r="C573" i="20" l="1"/>
  <c r="D574" i="20" s="1"/>
  <c r="B574" i="20"/>
  <c r="A577" i="20"/>
  <c r="C569" i="3"/>
  <c r="D570" i="3" s="1"/>
  <c r="C574" i="20" l="1"/>
  <c r="D575" i="20" s="1"/>
  <c r="B575" i="20"/>
  <c r="A578" i="20"/>
  <c r="C570" i="3"/>
  <c r="D571" i="3" s="1"/>
  <c r="C575" i="20" l="1"/>
  <c r="D576" i="20" s="1"/>
  <c r="B576" i="20"/>
  <c r="A579" i="20"/>
  <c r="C571" i="3"/>
  <c r="D572" i="3" s="1"/>
  <c r="C576" i="20" l="1"/>
  <c r="D577" i="20" s="1"/>
  <c r="B577" i="20"/>
  <c r="A580" i="20"/>
  <c r="C572" i="3"/>
  <c r="D573" i="3" s="1"/>
  <c r="C577" i="20" l="1"/>
  <c r="D578" i="20" s="1"/>
  <c r="B578" i="20"/>
  <c r="A581" i="20"/>
  <c r="C573" i="3"/>
  <c r="D574" i="3" s="1"/>
  <c r="C578" i="20" l="1"/>
  <c r="D579" i="20" s="1"/>
  <c r="B579" i="20"/>
  <c r="A582" i="20"/>
  <c r="C574" i="3"/>
  <c r="D575" i="3" s="1"/>
  <c r="C579" i="20" l="1"/>
  <c r="D580" i="20" s="1"/>
  <c r="B580" i="20"/>
  <c r="A583" i="20"/>
  <c r="C575" i="3"/>
  <c r="D576" i="3" s="1"/>
  <c r="C580" i="20" l="1"/>
  <c r="D581" i="20" s="1"/>
  <c r="B581" i="20"/>
  <c r="A584" i="20"/>
  <c r="C576" i="3"/>
  <c r="D577" i="3" s="1"/>
  <c r="C581" i="20" l="1"/>
  <c r="D582" i="20" s="1"/>
  <c r="B582" i="20"/>
  <c r="A585" i="20"/>
  <c r="C577" i="3"/>
  <c r="D578" i="3" s="1"/>
  <c r="C582" i="20" l="1"/>
  <c r="D583" i="20" s="1"/>
  <c r="B583" i="20"/>
  <c r="A586" i="20"/>
  <c r="C578" i="3"/>
  <c r="D579" i="3" s="1"/>
  <c r="C583" i="20" l="1"/>
  <c r="D584" i="20" s="1"/>
  <c r="B584" i="20"/>
  <c r="A587" i="20"/>
  <c r="C579" i="3"/>
  <c r="D580" i="3" s="1"/>
  <c r="C584" i="20" l="1"/>
  <c r="D585" i="20" s="1"/>
  <c r="B585" i="20"/>
  <c r="A588" i="20"/>
  <c r="C580" i="3"/>
  <c r="D581" i="3" s="1"/>
  <c r="C585" i="20" l="1"/>
  <c r="D586" i="20" s="1"/>
  <c r="B586" i="20"/>
  <c r="A589" i="20"/>
  <c r="C581" i="3"/>
  <c r="D582" i="3" s="1"/>
  <c r="C586" i="20" l="1"/>
  <c r="D587" i="20" s="1"/>
  <c r="B587" i="20"/>
  <c r="A590" i="20"/>
  <c r="C582" i="3"/>
  <c r="D583" i="3" s="1"/>
  <c r="C587" i="20" l="1"/>
  <c r="D588" i="20" s="1"/>
  <c r="B588" i="20"/>
  <c r="A591" i="20"/>
  <c r="C583" i="3"/>
  <c r="D584" i="3" s="1"/>
  <c r="C588" i="20" l="1"/>
  <c r="D589" i="20" s="1"/>
  <c r="B589" i="20"/>
  <c r="A592" i="20"/>
  <c r="C584" i="3"/>
  <c r="D585" i="3" s="1"/>
  <c r="C589" i="20" l="1"/>
  <c r="D590" i="20" s="1"/>
  <c r="B590" i="20"/>
  <c r="A593" i="20"/>
  <c r="C585" i="3"/>
  <c r="D586" i="3" s="1"/>
  <c r="C590" i="20" l="1"/>
  <c r="D591" i="20" s="1"/>
  <c r="B591" i="20"/>
  <c r="A594" i="20"/>
  <c r="C586" i="3"/>
  <c r="D587" i="3" s="1"/>
  <c r="C591" i="20" l="1"/>
  <c r="D592" i="20" s="1"/>
  <c r="B592" i="20"/>
  <c r="A595" i="20"/>
  <c r="C587" i="3"/>
  <c r="D588" i="3" s="1"/>
  <c r="C592" i="20" l="1"/>
  <c r="D593" i="20" s="1"/>
  <c r="B593" i="20"/>
  <c r="A596" i="20"/>
  <c r="C588" i="3"/>
  <c r="D589" i="3" s="1"/>
  <c r="C593" i="20" l="1"/>
  <c r="D594" i="20" s="1"/>
  <c r="B594" i="20"/>
  <c r="A597" i="20"/>
  <c r="C589" i="3"/>
  <c r="D590" i="3" s="1"/>
  <c r="C594" i="20" l="1"/>
  <c r="D595" i="20" s="1"/>
  <c r="B595" i="20"/>
  <c r="A598" i="20"/>
  <c r="C590" i="3"/>
  <c r="D591" i="3" s="1"/>
  <c r="C595" i="20" l="1"/>
  <c r="D596" i="20" s="1"/>
  <c r="B596" i="20"/>
  <c r="A599" i="20"/>
  <c r="C591" i="3"/>
  <c r="D592" i="3" s="1"/>
  <c r="C596" i="20" l="1"/>
  <c r="D597" i="20" s="1"/>
  <c r="B597" i="20"/>
  <c r="A600" i="20"/>
  <c r="C592" i="3"/>
  <c r="D593" i="3" s="1"/>
  <c r="C597" i="20" l="1"/>
  <c r="D598" i="20" s="1"/>
  <c r="B598" i="20"/>
  <c r="A601" i="20"/>
  <c r="C593" i="3"/>
  <c r="D594" i="3" s="1"/>
  <c r="C598" i="20" l="1"/>
  <c r="D599" i="20" s="1"/>
  <c r="B599" i="20"/>
  <c r="A602" i="20"/>
  <c r="C594" i="3"/>
  <c r="D595" i="3" s="1"/>
  <c r="C599" i="20" l="1"/>
  <c r="D600" i="20" s="1"/>
  <c r="B600" i="20"/>
  <c r="A603" i="20"/>
  <c r="C595" i="3"/>
  <c r="D596" i="3" s="1"/>
  <c r="C600" i="20" l="1"/>
  <c r="D601" i="20" s="1"/>
  <c r="B601" i="20"/>
  <c r="A604" i="20"/>
  <c r="C596" i="3"/>
  <c r="D597" i="3" s="1"/>
  <c r="C601" i="20" l="1"/>
  <c r="D602" i="20" s="1"/>
  <c r="B602" i="20"/>
  <c r="A605" i="20"/>
  <c r="C597" i="3"/>
  <c r="D598" i="3" s="1"/>
  <c r="C602" i="20" l="1"/>
  <c r="D603" i="20" s="1"/>
  <c r="B603" i="20"/>
  <c r="A606" i="20"/>
  <c r="C598" i="3"/>
  <c r="D599" i="3" s="1"/>
  <c r="C603" i="20" l="1"/>
  <c r="D604" i="20" s="1"/>
  <c r="B604" i="20"/>
  <c r="A607" i="20"/>
  <c r="C599" i="3"/>
  <c r="D600" i="3" s="1"/>
  <c r="C604" i="20" l="1"/>
  <c r="D605" i="20" s="1"/>
  <c r="B605" i="20"/>
  <c r="A608" i="20"/>
  <c r="C600" i="3"/>
  <c r="D601" i="3" s="1"/>
  <c r="C605" i="20" l="1"/>
  <c r="D606" i="20" s="1"/>
  <c r="B606" i="20"/>
  <c r="A609" i="20"/>
  <c r="C601" i="3"/>
  <c r="D602" i="3" s="1"/>
  <c r="C606" i="20" l="1"/>
  <c r="D607" i="20" s="1"/>
  <c r="B607" i="20"/>
  <c r="A610" i="20"/>
  <c r="C602" i="3"/>
  <c r="D603" i="3" s="1"/>
  <c r="C607" i="20" l="1"/>
  <c r="D608" i="20" s="1"/>
  <c r="B608" i="20"/>
  <c r="A611" i="20"/>
  <c r="C603" i="3"/>
  <c r="D604" i="3" s="1"/>
  <c r="C608" i="20" l="1"/>
  <c r="D609" i="20" s="1"/>
  <c r="B609" i="20"/>
  <c r="A612" i="20"/>
  <c r="C604" i="3"/>
  <c r="D605" i="3" s="1"/>
  <c r="C609" i="20" l="1"/>
  <c r="D610" i="20" s="1"/>
  <c r="B610" i="20"/>
  <c r="A613" i="20"/>
  <c r="C605" i="3"/>
  <c r="D606" i="3" s="1"/>
  <c r="C610" i="20" l="1"/>
  <c r="D611" i="20" s="1"/>
  <c r="B611" i="20"/>
  <c r="A614" i="20"/>
  <c r="C606" i="3"/>
  <c r="D607" i="3" s="1"/>
  <c r="C611" i="20" l="1"/>
  <c r="D612" i="20" s="1"/>
  <c r="B612" i="20"/>
  <c r="A615" i="20"/>
  <c r="C607" i="3"/>
  <c r="D608" i="3" s="1"/>
  <c r="C612" i="20" l="1"/>
  <c r="D613" i="20" s="1"/>
  <c r="B613" i="20"/>
  <c r="A616" i="20"/>
  <c r="C608" i="3"/>
  <c r="D609" i="3" s="1"/>
  <c r="C613" i="20" l="1"/>
  <c r="D614" i="20" s="1"/>
  <c r="B614" i="20"/>
  <c r="A617" i="20"/>
  <c r="C609" i="3"/>
  <c r="D610" i="3" s="1"/>
  <c r="C614" i="20" l="1"/>
  <c r="D615" i="20" s="1"/>
  <c r="B615" i="20"/>
  <c r="A618" i="20"/>
  <c r="C610" i="3"/>
  <c r="D611" i="3" s="1"/>
  <c r="C615" i="20" l="1"/>
  <c r="D616" i="20" s="1"/>
  <c r="B616" i="20"/>
  <c r="A619" i="20"/>
  <c r="C611" i="3"/>
  <c r="D612" i="3" s="1"/>
  <c r="C616" i="20" l="1"/>
  <c r="D617" i="20" s="1"/>
  <c r="B617" i="20"/>
  <c r="A620" i="20"/>
  <c r="C612" i="3"/>
  <c r="D613" i="3" s="1"/>
  <c r="C617" i="20" l="1"/>
  <c r="D618" i="20" s="1"/>
  <c r="B618" i="20"/>
  <c r="A621" i="20"/>
  <c r="C613" i="3"/>
  <c r="D614" i="3" s="1"/>
  <c r="C618" i="20" l="1"/>
  <c r="D619" i="20" s="1"/>
  <c r="B619" i="20"/>
  <c r="A622" i="20"/>
  <c r="C614" i="3"/>
  <c r="D615" i="3" s="1"/>
  <c r="C619" i="20" l="1"/>
  <c r="D620" i="20" s="1"/>
  <c r="B620" i="20"/>
  <c r="A623" i="20"/>
  <c r="C615" i="3"/>
  <c r="D616" i="3" s="1"/>
  <c r="C620" i="20" l="1"/>
  <c r="D621" i="20" s="1"/>
  <c r="B621" i="20"/>
  <c r="A624" i="20"/>
  <c r="C616" i="3"/>
  <c r="D617" i="3" s="1"/>
  <c r="C621" i="20" l="1"/>
  <c r="D622" i="20" s="1"/>
  <c r="B622" i="20"/>
  <c r="A625" i="20"/>
  <c r="C617" i="3"/>
  <c r="D618" i="3" s="1"/>
  <c r="C622" i="20" l="1"/>
  <c r="D623" i="20" s="1"/>
  <c r="B623" i="20"/>
  <c r="A626" i="20"/>
  <c r="C618" i="3"/>
  <c r="D619" i="3" s="1"/>
  <c r="C623" i="20" l="1"/>
  <c r="D624" i="20" s="1"/>
  <c r="B624" i="20"/>
  <c r="A627" i="20"/>
  <c r="C619" i="3"/>
  <c r="D620" i="3" s="1"/>
  <c r="C624" i="20" l="1"/>
  <c r="D625" i="20" s="1"/>
  <c r="B625" i="20"/>
  <c r="A628" i="20"/>
  <c r="C620" i="3"/>
  <c r="D621" i="3" s="1"/>
  <c r="C625" i="20" l="1"/>
  <c r="D626" i="20" s="1"/>
  <c r="B626" i="20"/>
  <c r="A629" i="20"/>
  <c r="C621" i="3"/>
  <c r="D622" i="3" s="1"/>
  <c r="C626" i="20" l="1"/>
  <c r="D627" i="20" s="1"/>
  <c r="B627" i="20"/>
  <c r="A630" i="20"/>
  <c r="C622" i="3"/>
  <c r="D623" i="3" s="1"/>
  <c r="C627" i="20" l="1"/>
  <c r="D628" i="20" s="1"/>
  <c r="B628" i="20"/>
  <c r="A631" i="20"/>
  <c r="C623" i="3"/>
  <c r="D624" i="3" s="1"/>
  <c r="C628" i="20" l="1"/>
  <c r="D629" i="20" s="1"/>
  <c r="B629" i="20"/>
  <c r="A632" i="20"/>
  <c r="C624" i="3"/>
  <c r="D625" i="3" s="1"/>
  <c r="C629" i="20" l="1"/>
  <c r="D630" i="20" s="1"/>
  <c r="B630" i="20"/>
  <c r="A633" i="20"/>
  <c r="C625" i="3"/>
  <c r="D626" i="3" s="1"/>
  <c r="C630" i="20" l="1"/>
  <c r="D631" i="20" s="1"/>
  <c r="B631" i="20"/>
  <c r="A634" i="20"/>
  <c r="C626" i="3"/>
  <c r="D627" i="3" s="1"/>
  <c r="C631" i="20" l="1"/>
  <c r="D632" i="20" s="1"/>
  <c r="B632" i="20"/>
  <c r="A635" i="20"/>
  <c r="C627" i="3"/>
  <c r="D628" i="3" s="1"/>
  <c r="C632" i="20" l="1"/>
  <c r="D633" i="20" s="1"/>
  <c r="B633" i="20"/>
  <c r="A636" i="20"/>
  <c r="C628" i="3"/>
  <c r="D629" i="3" s="1"/>
  <c r="C633" i="20" l="1"/>
  <c r="D634" i="20" s="1"/>
  <c r="B634" i="20"/>
  <c r="A637" i="20"/>
  <c r="C629" i="3"/>
  <c r="D630" i="3" s="1"/>
  <c r="C634" i="20" l="1"/>
  <c r="D635" i="20" s="1"/>
  <c r="B635" i="20"/>
  <c r="A638" i="20"/>
  <c r="C630" i="3"/>
  <c r="D631" i="3" s="1"/>
  <c r="C635" i="20" l="1"/>
  <c r="D636" i="20" s="1"/>
  <c r="B636" i="20"/>
  <c r="A639" i="20"/>
  <c r="C631" i="3"/>
  <c r="D632" i="3" s="1"/>
  <c r="C636" i="20" l="1"/>
  <c r="D637" i="20" s="1"/>
  <c r="B637" i="20"/>
  <c r="A640" i="20"/>
  <c r="C632" i="3"/>
  <c r="D633" i="3" s="1"/>
  <c r="C637" i="20" l="1"/>
  <c r="D638" i="20" s="1"/>
  <c r="B638" i="20"/>
  <c r="A641" i="20"/>
  <c r="C633" i="3"/>
  <c r="D634" i="3" s="1"/>
  <c r="C638" i="20" l="1"/>
  <c r="D639" i="20" s="1"/>
  <c r="B639" i="20"/>
  <c r="A642" i="20"/>
  <c r="C634" i="3"/>
  <c r="D635" i="3" s="1"/>
  <c r="C639" i="20" l="1"/>
  <c r="D640" i="20" s="1"/>
  <c r="B640" i="20"/>
  <c r="A643" i="20"/>
  <c r="C635" i="3"/>
  <c r="D636" i="3" s="1"/>
  <c r="C640" i="20" l="1"/>
  <c r="D641" i="20" s="1"/>
  <c r="B641" i="20"/>
  <c r="A644" i="20"/>
  <c r="C636" i="3"/>
  <c r="D637" i="3" s="1"/>
  <c r="C641" i="20" l="1"/>
  <c r="D642" i="20" s="1"/>
  <c r="B642" i="20"/>
  <c r="A645" i="20"/>
  <c r="C637" i="3"/>
  <c r="D638" i="3" s="1"/>
  <c r="C642" i="20" l="1"/>
  <c r="D643" i="20" s="1"/>
  <c r="B643" i="20"/>
  <c r="A646" i="20"/>
  <c r="C638" i="3"/>
  <c r="D639" i="3" s="1"/>
  <c r="C643" i="20" l="1"/>
  <c r="D644" i="20" s="1"/>
  <c r="B644" i="20"/>
  <c r="A647" i="20"/>
  <c r="C639" i="3"/>
  <c r="D640" i="3" s="1"/>
  <c r="C644" i="20" l="1"/>
  <c r="D645" i="20" s="1"/>
  <c r="B645" i="20"/>
  <c r="A648" i="20"/>
  <c r="C640" i="3"/>
  <c r="D641" i="3" s="1"/>
  <c r="C645" i="20" l="1"/>
  <c r="D646" i="20" s="1"/>
  <c r="B646" i="20"/>
  <c r="A649" i="20"/>
  <c r="C641" i="3"/>
  <c r="D642" i="3" s="1"/>
  <c r="C646" i="20" l="1"/>
  <c r="D647" i="20" s="1"/>
  <c r="B647" i="20"/>
  <c r="A650" i="20"/>
  <c r="C642" i="3"/>
  <c r="D643" i="3" s="1"/>
  <c r="C647" i="20" l="1"/>
  <c r="D648" i="20" s="1"/>
  <c r="B648" i="20"/>
  <c r="A651" i="20"/>
  <c r="C643" i="3"/>
  <c r="D644" i="3" s="1"/>
  <c r="C648" i="20" l="1"/>
  <c r="D649" i="20" s="1"/>
  <c r="B649" i="20"/>
  <c r="A652" i="20"/>
  <c r="C644" i="3"/>
  <c r="D645" i="3" s="1"/>
  <c r="C649" i="20" l="1"/>
  <c r="D650" i="20" s="1"/>
  <c r="B650" i="20"/>
  <c r="A653" i="20"/>
  <c r="C645" i="3"/>
  <c r="D646" i="3" s="1"/>
  <c r="C650" i="20" l="1"/>
  <c r="D651" i="20" s="1"/>
  <c r="B651" i="20"/>
  <c r="A654" i="20"/>
  <c r="C646" i="3"/>
  <c r="D647" i="3" s="1"/>
  <c r="C651" i="20" l="1"/>
  <c r="D652" i="20" s="1"/>
  <c r="B652" i="20"/>
  <c r="A655" i="20"/>
  <c r="C647" i="3"/>
  <c r="D648" i="3" s="1"/>
  <c r="C652" i="20" l="1"/>
  <c r="D653" i="20" s="1"/>
  <c r="B653" i="20"/>
  <c r="A656" i="20"/>
  <c r="C648" i="3"/>
  <c r="D649" i="3" s="1"/>
  <c r="C653" i="20" l="1"/>
  <c r="D654" i="20" s="1"/>
  <c r="B654" i="20"/>
  <c r="A657" i="20"/>
  <c r="C649" i="3"/>
  <c r="D650" i="3" s="1"/>
  <c r="C654" i="20" l="1"/>
  <c r="D655" i="20" s="1"/>
  <c r="B655" i="20"/>
  <c r="A658" i="20"/>
  <c r="C650" i="3"/>
  <c r="D651" i="3" s="1"/>
  <c r="C655" i="20" l="1"/>
  <c r="D656" i="20" s="1"/>
  <c r="B656" i="20"/>
  <c r="A659" i="20"/>
  <c r="C651" i="3"/>
  <c r="D652" i="3" s="1"/>
  <c r="C656" i="20" l="1"/>
  <c r="D657" i="20" s="1"/>
  <c r="B657" i="20"/>
  <c r="A660" i="20"/>
  <c r="C652" i="3"/>
  <c r="D653" i="3" s="1"/>
  <c r="C657" i="20" l="1"/>
  <c r="D658" i="20" s="1"/>
  <c r="B658" i="20"/>
  <c r="A661" i="20"/>
  <c r="C653" i="3"/>
  <c r="D654" i="3" s="1"/>
  <c r="C658" i="20" l="1"/>
  <c r="D659" i="20" s="1"/>
  <c r="B659" i="20"/>
  <c r="A662" i="20"/>
  <c r="C654" i="3"/>
  <c r="D655" i="3" s="1"/>
  <c r="C659" i="20" l="1"/>
  <c r="D660" i="20" s="1"/>
  <c r="B660" i="20"/>
  <c r="A663" i="20"/>
  <c r="C655" i="3"/>
  <c r="D656" i="3" s="1"/>
  <c r="C660" i="20" l="1"/>
  <c r="D661" i="20" s="1"/>
  <c r="B661" i="20"/>
  <c r="A664" i="20"/>
  <c r="C656" i="3"/>
  <c r="D657" i="3" s="1"/>
  <c r="C661" i="20" l="1"/>
  <c r="D662" i="20" s="1"/>
  <c r="B662" i="20"/>
  <c r="A665" i="20"/>
  <c r="C657" i="3"/>
  <c r="D658" i="3" s="1"/>
  <c r="C662" i="20" l="1"/>
  <c r="D663" i="20" s="1"/>
  <c r="B663" i="20"/>
  <c r="A666" i="20"/>
  <c r="C658" i="3"/>
  <c r="D659" i="3" s="1"/>
  <c r="C663" i="20" l="1"/>
  <c r="D664" i="20" s="1"/>
  <c r="B664" i="20"/>
  <c r="A667" i="20"/>
  <c r="C659" i="3"/>
  <c r="D660" i="3" s="1"/>
  <c r="C664" i="20" l="1"/>
  <c r="D665" i="20" s="1"/>
  <c r="B665" i="20"/>
  <c r="A668" i="20"/>
  <c r="C660" i="3"/>
  <c r="D661" i="3" s="1"/>
  <c r="C665" i="20" l="1"/>
  <c r="D666" i="20" s="1"/>
  <c r="B666" i="20"/>
  <c r="A669" i="20"/>
  <c r="C661" i="3"/>
  <c r="D662" i="3" s="1"/>
  <c r="C666" i="20" l="1"/>
  <c r="D667" i="20" s="1"/>
  <c r="B667" i="20"/>
  <c r="A670" i="20"/>
  <c r="C662" i="3"/>
  <c r="D663" i="3" s="1"/>
  <c r="C667" i="20" l="1"/>
  <c r="D668" i="20" s="1"/>
  <c r="B668" i="20"/>
  <c r="A671" i="20"/>
  <c r="C663" i="3"/>
  <c r="D664" i="3" s="1"/>
  <c r="C668" i="20" l="1"/>
  <c r="D669" i="20" s="1"/>
  <c r="B669" i="20"/>
  <c r="A672" i="20"/>
  <c r="C664" i="3"/>
  <c r="D665" i="3" s="1"/>
  <c r="C669" i="20" l="1"/>
  <c r="D670" i="20" s="1"/>
  <c r="B670" i="20"/>
  <c r="A673" i="20"/>
  <c r="C665" i="3"/>
  <c r="D666" i="3" s="1"/>
  <c r="C670" i="20" l="1"/>
  <c r="D671" i="20" s="1"/>
  <c r="B671" i="20"/>
  <c r="A674" i="20"/>
  <c r="C666" i="3"/>
  <c r="D667" i="3" s="1"/>
  <c r="C671" i="20" l="1"/>
  <c r="D672" i="20" s="1"/>
  <c r="B672" i="20"/>
  <c r="A675" i="20"/>
  <c r="C667" i="3"/>
  <c r="D668" i="3" s="1"/>
  <c r="C672" i="20" l="1"/>
  <c r="D673" i="20" s="1"/>
  <c r="B673" i="20"/>
  <c r="A676" i="20"/>
  <c r="C668" i="3"/>
  <c r="D669" i="3" s="1"/>
  <c r="C673" i="20" l="1"/>
  <c r="D674" i="20" s="1"/>
  <c r="B674" i="20"/>
  <c r="A677" i="20"/>
  <c r="C669" i="3"/>
  <c r="D670" i="3" s="1"/>
  <c r="C674" i="20" l="1"/>
  <c r="D675" i="20" s="1"/>
  <c r="B675" i="20"/>
  <c r="A678" i="20"/>
  <c r="C670" i="3"/>
  <c r="D671" i="3" s="1"/>
  <c r="C675" i="20" l="1"/>
  <c r="D676" i="20" s="1"/>
  <c r="B676" i="20"/>
  <c r="A679" i="20"/>
  <c r="C671" i="3"/>
  <c r="D672" i="3" s="1"/>
  <c r="C676" i="20" l="1"/>
  <c r="D677" i="20" s="1"/>
  <c r="B677" i="20"/>
  <c r="A680" i="20"/>
  <c r="C672" i="3"/>
  <c r="D673" i="3" s="1"/>
  <c r="C677" i="20" l="1"/>
  <c r="D678" i="20" s="1"/>
  <c r="B678" i="20"/>
  <c r="A681" i="20"/>
  <c r="C673" i="3"/>
  <c r="D674" i="3" s="1"/>
  <c r="C678" i="20" l="1"/>
  <c r="D679" i="20" s="1"/>
  <c r="B679" i="20"/>
  <c r="A682" i="20"/>
  <c r="C674" i="3"/>
  <c r="D675" i="3" s="1"/>
  <c r="C679" i="20" l="1"/>
  <c r="D680" i="20" s="1"/>
  <c r="B680" i="20"/>
  <c r="A683" i="20"/>
  <c r="C675" i="3"/>
  <c r="D676" i="3" s="1"/>
  <c r="C680" i="20" l="1"/>
  <c r="D681" i="20" s="1"/>
  <c r="B681" i="20"/>
  <c r="A684" i="20"/>
  <c r="C676" i="3"/>
  <c r="D677" i="3" s="1"/>
  <c r="C681" i="20" l="1"/>
  <c r="D682" i="20" s="1"/>
  <c r="B682" i="20"/>
  <c r="A685" i="20"/>
  <c r="C677" i="3"/>
  <c r="D678" i="3" s="1"/>
  <c r="C682" i="20" l="1"/>
  <c r="D683" i="20" s="1"/>
  <c r="B683" i="20"/>
  <c r="A686" i="20"/>
  <c r="C678" i="3"/>
  <c r="D679" i="3" s="1"/>
  <c r="C683" i="20" l="1"/>
  <c r="D684" i="20" s="1"/>
  <c r="B684" i="20"/>
  <c r="A687" i="20"/>
  <c r="C679" i="3"/>
  <c r="D680" i="3" s="1"/>
  <c r="C684" i="20" l="1"/>
  <c r="D685" i="20" s="1"/>
  <c r="B685" i="20"/>
  <c r="A688" i="20"/>
  <c r="C680" i="3"/>
  <c r="D681" i="3" s="1"/>
  <c r="C685" i="20" l="1"/>
  <c r="D686" i="20" s="1"/>
  <c r="B686" i="20"/>
  <c r="A689" i="20"/>
  <c r="C681" i="3"/>
  <c r="D682" i="3" s="1"/>
  <c r="C686" i="20" l="1"/>
  <c r="D687" i="20" s="1"/>
  <c r="B687" i="20"/>
  <c r="A690" i="20"/>
  <c r="C682" i="3"/>
  <c r="D683" i="3" s="1"/>
  <c r="C687" i="20" l="1"/>
  <c r="D688" i="20" s="1"/>
  <c r="B688" i="20"/>
  <c r="A691" i="20"/>
  <c r="C683" i="3"/>
  <c r="D684" i="3" s="1"/>
  <c r="C688" i="20" l="1"/>
  <c r="D689" i="20" s="1"/>
  <c r="B689" i="20"/>
  <c r="A692" i="20"/>
  <c r="C684" i="3"/>
  <c r="D685" i="3" s="1"/>
  <c r="C689" i="20" l="1"/>
  <c r="D690" i="20" s="1"/>
  <c r="B690" i="20"/>
  <c r="A693" i="20"/>
  <c r="C685" i="3"/>
  <c r="D686" i="3" s="1"/>
  <c r="C690" i="20" l="1"/>
  <c r="D691" i="20" s="1"/>
  <c r="B691" i="20"/>
  <c r="A694" i="20"/>
  <c r="C686" i="3"/>
  <c r="D687" i="3" s="1"/>
  <c r="C691" i="20" l="1"/>
  <c r="D692" i="20" s="1"/>
  <c r="B692" i="20"/>
  <c r="A695" i="20"/>
  <c r="C687" i="3"/>
  <c r="D688" i="3" s="1"/>
  <c r="C692" i="20" l="1"/>
  <c r="D693" i="20" s="1"/>
  <c r="B693" i="20"/>
  <c r="A696" i="20"/>
  <c r="C688" i="3"/>
  <c r="D689" i="3" s="1"/>
  <c r="C693" i="20" l="1"/>
  <c r="D694" i="20" s="1"/>
  <c r="B694" i="20"/>
  <c r="A697" i="20"/>
  <c r="C689" i="3"/>
  <c r="D690" i="3" s="1"/>
  <c r="C694" i="20" l="1"/>
  <c r="D695" i="20" s="1"/>
  <c r="B695" i="20"/>
  <c r="A698" i="20"/>
  <c r="C690" i="3"/>
  <c r="D691" i="3" s="1"/>
  <c r="C695" i="20" l="1"/>
  <c r="D696" i="20" s="1"/>
  <c r="B696" i="20"/>
  <c r="A699" i="20"/>
  <c r="C691" i="3"/>
  <c r="D692" i="3" s="1"/>
  <c r="C696" i="20" l="1"/>
  <c r="D697" i="20" s="1"/>
  <c r="B697" i="20"/>
  <c r="A700" i="20"/>
  <c r="C692" i="3"/>
  <c r="D693" i="3" s="1"/>
  <c r="C697" i="20" l="1"/>
  <c r="D698" i="20" s="1"/>
  <c r="B698" i="20"/>
  <c r="A701" i="20"/>
  <c r="C693" i="3"/>
  <c r="D694" i="3" s="1"/>
  <c r="C698" i="20" l="1"/>
  <c r="D699" i="20" s="1"/>
  <c r="B699" i="20"/>
  <c r="A702" i="20"/>
  <c r="C694" i="3"/>
  <c r="D695" i="3" s="1"/>
  <c r="C699" i="20" l="1"/>
  <c r="D700" i="20" s="1"/>
  <c r="B700" i="20"/>
  <c r="A703" i="20"/>
  <c r="C695" i="3"/>
  <c r="D696" i="3" s="1"/>
  <c r="C700" i="20" l="1"/>
  <c r="D701" i="20" s="1"/>
  <c r="B701" i="20"/>
  <c r="A704" i="20"/>
  <c r="C696" i="3"/>
  <c r="D697" i="3" s="1"/>
  <c r="C701" i="20" l="1"/>
  <c r="D702" i="20" s="1"/>
  <c r="B702" i="20"/>
  <c r="A705" i="20"/>
  <c r="C697" i="3"/>
  <c r="D698" i="3" s="1"/>
  <c r="C702" i="20" l="1"/>
  <c r="D703" i="20" s="1"/>
  <c r="B703" i="20"/>
  <c r="A706" i="20"/>
  <c r="C698" i="3"/>
  <c r="D699" i="3" s="1"/>
  <c r="C703" i="20" l="1"/>
  <c r="D704" i="20" s="1"/>
  <c r="B704" i="20"/>
  <c r="A707" i="20"/>
  <c r="C699" i="3"/>
  <c r="D700" i="3" s="1"/>
  <c r="C704" i="20" l="1"/>
  <c r="D705" i="20" s="1"/>
  <c r="B705" i="20"/>
  <c r="A708" i="20"/>
  <c r="C700" i="3"/>
  <c r="D701" i="3" s="1"/>
  <c r="C705" i="20" l="1"/>
  <c r="D706" i="20" s="1"/>
  <c r="B706" i="20"/>
  <c r="A709" i="20"/>
  <c r="C701" i="3"/>
  <c r="D702" i="3" s="1"/>
  <c r="C706" i="20" l="1"/>
  <c r="D707" i="20" s="1"/>
  <c r="B707" i="20"/>
  <c r="A710" i="20"/>
  <c r="C702" i="3"/>
  <c r="D703" i="3" s="1"/>
  <c r="C707" i="20" l="1"/>
  <c r="D708" i="20" s="1"/>
  <c r="B708" i="20"/>
  <c r="A711" i="20"/>
  <c r="C703" i="3"/>
  <c r="D704" i="3" s="1"/>
  <c r="C708" i="20" l="1"/>
  <c r="D709" i="20" s="1"/>
  <c r="B709" i="20"/>
  <c r="A712" i="20"/>
  <c r="C704" i="3"/>
  <c r="D705" i="3" s="1"/>
  <c r="C709" i="20" l="1"/>
  <c r="D710" i="20" s="1"/>
  <c r="B710" i="20"/>
  <c r="A713" i="20"/>
  <c r="C705" i="3"/>
  <c r="D706" i="3" s="1"/>
  <c r="C710" i="20" l="1"/>
  <c r="D711" i="20" s="1"/>
  <c r="B711" i="20"/>
  <c r="A714" i="20"/>
  <c r="C706" i="3"/>
  <c r="D707" i="3" s="1"/>
  <c r="C711" i="20" l="1"/>
  <c r="D712" i="20" s="1"/>
  <c r="B712" i="20"/>
  <c r="A715" i="20"/>
  <c r="C707" i="3"/>
  <c r="D708" i="3" s="1"/>
  <c r="C712" i="20" l="1"/>
  <c r="D713" i="20" s="1"/>
  <c r="B713" i="20"/>
  <c r="A716" i="20"/>
  <c r="C708" i="3"/>
  <c r="D709" i="3" s="1"/>
  <c r="C713" i="20" l="1"/>
  <c r="D714" i="20" s="1"/>
  <c r="B714" i="20"/>
  <c r="A717" i="20"/>
  <c r="C709" i="3"/>
  <c r="D710" i="3" s="1"/>
  <c r="C714" i="20" l="1"/>
  <c r="D715" i="20" s="1"/>
  <c r="B715" i="20"/>
  <c r="A718" i="20"/>
  <c r="C710" i="3"/>
  <c r="D711" i="3" s="1"/>
  <c r="C715" i="20" l="1"/>
  <c r="D716" i="20" s="1"/>
  <c r="B716" i="20"/>
  <c r="A719" i="20"/>
  <c r="C711" i="3"/>
  <c r="D712" i="3" s="1"/>
  <c r="C716" i="20" l="1"/>
  <c r="D717" i="20" s="1"/>
  <c r="B717" i="20"/>
  <c r="A720" i="20"/>
  <c r="C712" i="3"/>
  <c r="D713" i="3" s="1"/>
  <c r="C717" i="20" l="1"/>
  <c r="D718" i="20" s="1"/>
  <c r="B718" i="20"/>
  <c r="A721" i="20"/>
  <c r="C713" i="3"/>
  <c r="D714" i="3" s="1"/>
  <c r="C718" i="20" l="1"/>
  <c r="D719" i="20" s="1"/>
  <c r="B719" i="20"/>
  <c r="A722" i="20"/>
  <c r="C714" i="3"/>
  <c r="D715" i="3" s="1"/>
  <c r="C719" i="20" l="1"/>
  <c r="D720" i="20" s="1"/>
  <c r="B720" i="20"/>
  <c r="A723" i="20"/>
  <c r="C715" i="3"/>
  <c r="D716" i="3" s="1"/>
  <c r="C720" i="20" l="1"/>
  <c r="D721" i="20" s="1"/>
  <c r="B721" i="20"/>
  <c r="A724" i="20"/>
  <c r="C716" i="3"/>
  <c r="D717" i="3" s="1"/>
  <c r="C721" i="20" l="1"/>
  <c r="D722" i="20" s="1"/>
  <c r="B722" i="20"/>
  <c r="A725" i="20"/>
  <c r="C717" i="3"/>
  <c r="D718" i="3" s="1"/>
  <c r="C722" i="20" l="1"/>
  <c r="D723" i="20" s="1"/>
  <c r="B723" i="20"/>
  <c r="A726" i="20"/>
  <c r="C718" i="3"/>
  <c r="D719" i="3" s="1"/>
  <c r="C723" i="20" l="1"/>
  <c r="D724" i="20" s="1"/>
  <c r="B724" i="20"/>
  <c r="A727" i="20"/>
  <c r="C719" i="3"/>
  <c r="D720" i="3" s="1"/>
  <c r="C724" i="20" l="1"/>
  <c r="D725" i="20" s="1"/>
  <c r="B725" i="20"/>
  <c r="A728" i="20"/>
  <c r="C720" i="3"/>
  <c r="D721" i="3" s="1"/>
  <c r="C725" i="20" l="1"/>
  <c r="D726" i="20" s="1"/>
  <c r="B726" i="20"/>
  <c r="A729" i="20"/>
  <c r="C721" i="3"/>
  <c r="D722" i="3" s="1"/>
  <c r="C726" i="20" l="1"/>
  <c r="D727" i="20" s="1"/>
  <c r="B727" i="20"/>
  <c r="A730" i="20"/>
  <c r="C722" i="3"/>
  <c r="D723" i="3" s="1"/>
  <c r="C727" i="20" l="1"/>
  <c r="D728" i="20" s="1"/>
  <c r="B728" i="20"/>
  <c r="A731" i="20"/>
  <c r="C723" i="3"/>
  <c r="D724" i="3" s="1"/>
  <c r="C728" i="20" l="1"/>
  <c r="D729" i="20" s="1"/>
  <c r="B729" i="20"/>
  <c r="C724" i="3"/>
  <c r="D725" i="3" s="1"/>
  <c r="C729" i="20" l="1"/>
  <c r="D730" i="20" s="1"/>
  <c r="B730" i="20"/>
  <c r="C725" i="3"/>
  <c r="D726" i="3" s="1"/>
  <c r="C730" i="20" l="1"/>
  <c r="D731" i="20" s="1"/>
  <c r="B731" i="20"/>
  <c r="C731" i="20" s="1"/>
  <c r="C726" i="3"/>
  <c r="D727" i="3" s="1"/>
  <c r="B17" i="20" l="1"/>
  <c r="B16" i="20"/>
  <c r="C727" i="3"/>
  <c r="D728" i="3" s="1"/>
  <c r="C728" i="3" l="1"/>
  <c r="D729" i="3" s="1"/>
  <c r="C729" i="3" l="1"/>
  <c r="D730" i="3" s="1"/>
  <c r="C731" i="3" l="1"/>
  <c r="C730" i="3"/>
  <c r="D731" i="3" s="1"/>
  <c r="B16" i="3" s="1"/>
  <c r="B17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<sst xmlns="http://schemas.openxmlformats.org/spreadsheetml/2006/main" count="372" uniqueCount="145">
  <si>
    <t>d</t>
  </si>
  <si>
    <t>k</t>
  </si>
  <si>
    <t>Error</t>
  </si>
  <si>
    <t>feet</t>
  </si>
  <si>
    <t>M</t>
  </si>
  <si>
    <t>motor speed</t>
  </si>
  <si>
    <t>loop_time</t>
  </si>
  <si>
    <t>seconds</t>
  </si>
  <si>
    <t>v_c</t>
  </si>
  <si>
    <t>in/s</t>
  </si>
  <si>
    <t>in/s/motor speed</t>
  </si>
  <si>
    <t>in/s/s</t>
  </si>
  <si>
    <t>in</t>
  </si>
  <si>
    <t>t</t>
  </si>
  <si>
    <t>a</t>
  </si>
  <si>
    <t>v_max</t>
  </si>
  <si>
    <t>inches</t>
  </si>
  <si>
    <t>v_command</t>
  </si>
  <si>
    <t>t_total</t>
  </si>
  <si>
    <t>t-ta</t>
  </si>
  <si>
    <t>v</t>
  </si>
  <si>
    <t>m_step</t>
  </si>
  <si>
    <t>0 to 1</t>
  </si>
  <si>
    <t>up to ~500</t>
  </si>
  <si>
    <t>target dist</t>
  </si>
  <si>
    <t>ta</t>
  </si>
  <si>
    <t>Distance Achieved</t>
  </si>
  <si>
    <t>M_c</t>
  </si>
  <si>
    <t>Battery
V</t>
  </si>
  <si>
    <t>dist command</t>
  </si>
  <si>
    <t>dist adjused</t>
  </si>
  <si>
    <t>angle command</t>
  </si>
  <si>
    <t>dist adjusted</t>
  </si>
  <si>
    <t>2026 robot data</t>
  </si>
  <si>
    <t>test #</t>
  </si>
  <si>
    <t>expected distance</t>
  </si>
  <si>
    <t>real distance</t>
  </si>
  <si>
    <t>motor command</t>
  </si>
  <si>
    <t>votage</t>
  </si>
  <si>
    <t>error (subtract)</t>
  </si>
  <si>
    <t>error (divide)</t>
  </si>
  <si>
    <t>k value</t>
  </si>
  <si>
    <t>accel. rate</t>
  </si>
  <si>
    <t>Test #</t>
  </si>
  <si>
    <t>Robot Front Zero</t>
  </si>
  <si>
    <t>Feed</t>
  </si>
  <si>
    <t>Launch</t>
  </si>
  <si>
    <t>Position</t>
  </si>
  <si>
    <t>Standard Deviation</t>
  </si>
  <si>
    <t>Expected frequency outside limits for given population</t>
  </si>
  <si>
    <t>Percent Covered</t>
  </si>
  <si>
    <t>Percent Left</t>
  </si>
  <si>
    <t>1 sigma</t>
  </si>
  <si>
    <t>2 sigma</t>
  </si>
  <si>
    <t>3 sigma</t>
  </si>
  <si>
    <t>4 sigma</t>
  </si>
  <si>
    <t>5 sigma</t>
  </si>
  <si>
    <t>6 sigma</t>
  </si>
  <si>
    <t>Sample Size Determination</t>
  </si>
  <si>
    <t>Confidence</t>
  </si>
  <si>
    <t>Sample Size</t>
  </si>
  <si>
    <t>Desired Interval</t>
  </si>
  <si>
    <t>Normal Distribution Confidence Interval</t>
  </si>
  <si>
    <t>Interval</t>
  </si>
  <si>
    <t>Sample Min</t>
  </si>
  <si>
    <t>Sample Max</t>
  </si>
  <si>
    <t>Sample Mean</t>
  </si>
  <si>
    <t>Sample Std Dev</t>
  </si>
  <si>
    <t>Num of Samples</t>
  </si>
  <si>
    <t>Z-Test Proportion Confidence Interval</t>
  </si>
  <si>
    <t>Non-conforming samples</t>
  </si>
  <si>
    <t>Binomial</t>
  </si>
  <si>
    <t>Num of Trials</t>
  </si>
  <si>
    <t>Probability</t>
  </si>
  <si>
    <t>Prob of Success</t>
  </si>
  <si>
    <t>Num of Successes</t>
  </si>
  <si>
    <t>Cumulative?</t>
  </si>
  <si>
    <t>Poisson</t>
  </si>
  <si>
    <t>New Count</t>
  </si>
  <si>
    <t>Historical Mean</t>
  </si>
  <si>
    <t>Hypergeometric</t>
  </si>
  <si>
    <t>Sample_s</t>
  </si>
  <si>
    <t>Samples</t>
  </si>
  <si>
    <t>Population_s</t>
  </si>
  <si>
    <t>Population</t>
  </si>
  <si>
    <t>What is the chance we will catch a event?</t>
  </si>
  <si>
    <t>Probability of event</t>
  </si>
  <si>
    <t>Number of Trials</t>
  </si>
  <si>
    <t>Linear Interpolation</t>
  </si>
  <si>
    <t>X</t>
  </si>
  <si>
    <t>Y</t>
  </si>
  <si>
    <t>Point 1</t>
  </si>
  <si>
    <t>Unknown</t>
  </si>
  <si>
    <t>Point 2</t>
  </si>
  <si>
    <t>Shooting Distance Data</t>
  </si>
  <si>
    <t>Overall Average</t>
  </si>
  <si>
    <t>Overall STDEV</t>
  </si>
  <si>
    <t>Balls Loaded
count</t>
  </si>
  <si>
    <t>Launch
M</t>
  </si>
  <si>
    <t>Feed
M</t>
  </si>
  <si>
    <t>Notes</t>
  </si>
  <si>
    <t>Jams
count</t>
  </si>
  <si>
    <t>Seconds to balls</t>
  </si>
  <si>
    <t>just no</t>
  </si>
  <si>
    <t>Average
Speed</t>
  </si>
  <si>
    <t>Speed Error</t>
  </si>
  <si>
    <t>Overall Average Distance</t>
  </si>
  <si>
    <t>Feed Motor Speed</t>
  </si>
  <si>
    <t>Speed STDEV</t>
  </si>
  <si>
    <t>Overall Distance STDEV</t>
  </si>
  <si>
    <t>bpm</t>
  </si>
  <si>
    <t>Chance of Success</t>
  </si>
  <si>
    <t>Delivery Rate</t>
  </si>
  <si>
    <t>Time
s</t>
  </si>
  <si>
    <t>Chance of at least x balls (Continuous)</t>
  </si>
  <si>
    <t>Speed bpm</t>
  </si>
  <si>
    <t>Min Speed bpm</t>
  </si>
  <si>
    <t>Drive</t>
  </si>
  <si>
    <t>Shoot</t>
  </si>
  <si>
    <t>Remaining</t>
  </si>
  <si>
    <t>Balls in Hopper</t>
  </si>
  <si>
    <t>Chance of at least x balls (with hopper)</t>
  </si>
  <si>
    <t>Left</t>
  </si>
  <si>
    <t>Right</t>
  </si>
  <si>
    <t>Voltage</t>
  </si>
  <si>
    <t>Drive Motors</t>
  </si>
  <si>
    <t>RPM</t>
  </si>
  <si>
    <t>Hopper Motor</t>
  </si>
  <si>
    <t>Hopper</t>
  </si>
  <si>
    <t>Intake</t>
  </si>
  <si>
    <t>Hopper Feed</t>
  </si>
  <si>
    <t>Distance Command</t>
  </si>
  <si>
    <t>Motor Command</t>
  </si>
  <si>
    <t>Measured Distance</t>
  </si>
  <si>
    <t>offset</t>
  </si>
  <si>
    <t>Accel Rate</t>
  </si>
  <si>
    <t>driveMode</t>
  </si>
  <si>
    <t>DRIVE</t>
  </si>
  <si>
    <t>TURN</t>
  </si>
  <si>
    <t>Measured Angle</t>
  </si>
  <si>
    <t>Angle Command</t>
  </si>
  <si>
    <t>Percent Error</t>
  </si>
  <si>
    <t>Ball Distance</t>
  </si>
  <si>
    <t>Distance of Shot</t>
  </si>
  <si>
    <t>Stdev of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</si>
</sst>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%"/>
    <numFmt numFmtId="166" formatCode="0.0000000%"/>
    <numFmt numFmtId="167" formatCode="0.000"/>
    <numFmt numFmtId="168" formatCode="0.0%"/>
  </numFmts>
  <fonts count="19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9C57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/>
    <xf numFmtId="0" fontId="7" fillId="4" borderId="3" applyNumberFormat="0" applyAlignment="0" applyProtection="0"/>
    <xf numFmtId="0" fontId="12" fillId="0" borderId="8" applyNumberFormat="0" applyFill="0" applyAlignment="0" applyProtection="0"/>
    <xf numFmtId="0" fontId="13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6" fillId="7" borderId="10" applyNumberFormat="0" applyFont="0" applyAlignment="0" applyProtection="0"/>
    <xf numFmtId="0" fontId="18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</cellStyleXfs>
  <cellXfs count="75">
    <xf numFmtId="0" fontId="0" fillId="0" borderId="0" xfId="0"/>
    <xf numFmtId="0" fontId="4" fillId="3" borderId="1" xfId="4"/>
    <xf numFmtId="0" fontId="0" fillId="0" borderId="0" xfId="0" applyAlignment="1">
      <alignment horizontal="center"/>
    </xf>
    <xf numFmtId="0" fontId="2" fillId="2" borderId="1" xfId="2" applyAlignment="1">
      <alignment horizontal="center"/>
    </xf>
    <xf numFmtId="0" fontId="4" fillId="3" borderId="1" xfId="4" applyAlignment="1">
      <alignment horizontal="center"/>
    </xf>
    <xf numFmtId="0" fontId="5" fillId="0" borderId="0" xfId="5"/>
    <xf numFmtId="0" fontId="3" fillId="3" borderId="2" xfId="3" applyAlignment="1">
      <alignment horizontal="center"/>
    </xf>
    <xf numFmtId="0" fontId="0" fillId="0" borderId="0" xfId="0" applyAlignment="1">
      <alignment horizontal="left"/>
    </xf>
    <xf numFmtId="0" fontId="2" fillId="2" borderId="1" xfId="2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2" borderId="7" xfId="2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3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3" fontId="0" fillId="8" borderId="11" xfId="0" applyNumberFormat="1" applyFill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6" fontId="0" fillId="0" borderId="0" xfId="0" applyNumberFormat="1"/>
    <xf numFmtId="0" fontId="17" fillId="0" borderId="0" xfId="0" applyFont="1"/>
    <xf numFmtId="9" fontId="2" fillId="2" borderId="1" xfId="2" applyNumberFormat="1"/>
    <xf numFmtId="1" fontId="3" fillId="3" borderId="2" xfId="3" applyNumberFormat="1" applyAlignment="1">
      <alignment horizontal="center"/>
    </xf>
    <xf numFmtId="0" fontId="13" fillId="0" borderId="9" xfId="8"/>
    <xf numFmtId="0" fontId="3" fillId="3" borderId="2" xfId="3" applyNumberFormat="1" applyAlignment="1">
      <alignment horizontal="center"/>
    </xf>
    <xf numFmtId="1" fontId="2" fillId="2" borderId="1" xfId="2" applyNumberFormat="1"/>
    <xf numFmtId="167" fontId="3" fillId="3" borderId="2" xfId="3" applyNumberFormat="1" applyAlignment="1">
      <alignment horizontal="center"/>
    </xf>
    <xf numFmtId="0" fontId="17" fillId="0" borderId="0" xfId="0" applyFont="1" applyAlignment="1">
      <alignment horizontal="center"/>
    </xf>
    <xf numFmtId="10" fontId="3" fillId="3" borderId="2" xfId="3" applyNumberFormat="1" applyAlignment="1">
      <alignment horizontal="center"/>
    </xf>
    <xf numFmtId="10" fontId="0" fillId="0" borderId="0" xfId="0" applyNumberFormat="1" applyAlignment="1">
      <alignment horizontal="center"/>
    </xf>
    <xf numFmtId="0" fontId="8" fillId="0" borderId="0" xfId="0" applyFont="1"/>
    <xf numFmtId="164" fontId="3" fillId="3" borderId="2" xfId="3" applyNumberFormat="1" applyAlignment="1">
      <alignment horizontal="center"/>
    </xf>
    <xf numFmtId="0" fontId="12" fillId="0" borderId="8" xfId="7" applyAlignment="1">
      <alignment horizontal="left"/>
    </xf>
    <xf numFmtId="0" fontId="14" fillId="0" borderId="0" xfId="9" applyAlignment="1">
      <alignment horizontal="center"/>
    </xf>
    <xf numFmtId="0" fontId="7" fillId="4" borderId="3" xfId="6" applyAlignment="1">
      <alignment horizontal="center"/>
    </xf>
    <xf numFmtId="0" fontId="1" fillId="0" borderId="0" xfId="1" applyAlignment="1">
      <alignment horizontal="left" vertical="center"/>
    </xf>
    <xf numFmtId="0" fontId="16" fillId="0" borderId="0" xfId="0" applyFont="1" applyAlignment="1">
      <alignment horizontal="center" vertical="top"/>
    </xf>
    <xf numFmtId="0" fontId="4" fillId="3" borderId="1" xfId="4" applyAlignment="1">
      <alignment horizontal="center" vertical="top" wrapText="1"/>
    </xf>
    <xf numFmtId="0" fontId="2" fillId="2" borderId="1" xfId="2" applyAlignment="1">
      <alignment horizontal="center" vertical="top" wrapText="1"/>
    </xf>
    <xf numFmtId="0" fontId="2" fillId="7" borderId="10" xfId="10" applyFont="1" applyAlignment="1">
      <alignment horizontal="center" vertical="top"/>
    </xf>
    <xf numFmtId="0" fontId="2" fillId="7" borderId="10" xfId="1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/>
    </xf>
    <xf numFmtId="168" fontId="16" fillId="0" borderId="0" xfId="0" applyNumberFormat="1" applyFont="1" applyAlignment="1">
      <alignment horizontal="center" vertical="top" wrapText="1"/>
    </xf>
    <xf numFmtId="168" fontId="0" fillId="0" borderId="0" xfId="0" applyNumberFormat="1"/>
    <xf numFmtId="168" fontId="17" fillId="0" borderId="0" xfId="0" applyNumberFormat="1" applyFont="1" applyAlignment="1">
      <alignment horizontal="center" vertical="top"/>
    </xf>
    <xf numFmtId="0" fontId="2" fillId="2" borderId="1" xfId="2" applyAlignment="1">
      <alignment horizontal="center" vertical="top"/>
    </xf>
    <xf numFmtId="9" fontId="17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 wrapText="1"/>
    </xf>
    <xf numFmtId="0" fontId="8" fillId="0" borderId="11" xfId="0" applyFont="1" applyBorder="1" applyAlignment="1">
      <alignment horizontal="center"/>
    </xf>
    <xf numFmtId="0" fontId="13" fillId="0" borderId="9" xfId="8" applyAlignment="1">
      <alignment horizontal="left"/>
    </xf>
    <xf numFmtId="0" fontId="10" fillId="5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18" fillId="9" borderId="5" xfId="11" applyBorder="1" applyAlignment="1">
      <alignment vertical="top" wrapText="1"/>
    </xf>
    <xf numFmtId="0" fontId="6" fillId="10" borderId="0" xfId="12" applyAlignment="1">
      <alignment horizontal="center" vertical="center" wrapText="1"/>
    </xf>
    <xf numFmtId="0" fontId="6" fillId="10" borderId="0" xfId="12"/>
    <xf numFmtId="0" fontId="6" fillId="12" borderId="0" xfId="14" applyAlignment="1">
      <alignment horizontal="center" vertical="center" wrapText="1"/>
    </xf>
    <xf numFmtId="0" fontId="6" fillId="12" borderId="0" xfId="14"/>
    <xf numFmtId="0" fontId="6" fillId="13" borderId="0" xfId="15" applyAlignment="1">
      <alignment horizontal="center" vertical="center" wrapText="1"/>
    </xf>
    <xf numFmtId="0" fontId="6" fillId="13" borderId="0" xfId="15"/>
    <xf numFmtId="0" fontId="6" fillId="11" borderId="0" xfId="13" applyAlignment="1">
      <alignment horizontal="center" vertical="center" wrapText="1"/>
    </xf>
  </cellXfs>
  <cellStyles count="16">
    <cellStyle name="20% - Accent4" xfId="12" builtinId="42"/>
    <cellStyle name="20% - Accent6" xfId="14" builtinId="50"/>
    <cellStyle name="40% - Accent4" xfId="13" builtinId="43"/>
    <cellStyle name="60% - Accent6" xfId="15" builtinId="52"/>
    <cellStyle name="Calculation" xfId="4" builtinId="22"/>
    <cellStyle name="Check Cell" xfId="6" builtinId="23"/>
    <cellStyle name="Explanatory Text" xfId="5" builtinId="53"/>
    <cellStyle name="Heading 1" xfId="7" builtinId="16"/>
    <cellStyle name="Heading 2" xfId="8" builtinId="17"/>
    <cellStyle name="Heading 4" xfId="9" builtinId="19"/>
    <cellStyle name="Input" xfId="2" builtinId="20"/>
    <cellStyle name="Neutral" xfId="11" builtinId="28"/>
    <cellStyle name="Normal" xfId="0" builtinId="0"/>
    <cellStyle name="Note" xfId="10" builtinId="10"/>
    <cellStyle name="Output" xfId="3" builtinId="21"/>
    <cellStyle name="Title" xfId="1" builtinId="1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AngleFunction!$B$20:$B$731</c:f>
              <c:numCache>
                <c:formatCode>General</c:formatCode>
                <c:ptCount val="712"/>
                <c:pt idx="0">
                  <c:v>0</c:v>
                </c:pt>
                <c:pt idx="1">
                  <c:v>4.0268456375838924E-2</c:v>
                </c:pt>
                <c:pt idx="2">
                  <c:v>8.0536912751677847E-2</c:v>
                </c:pt>
                <c:pt idx="3">
                  <c:v>0.12080536912751677</c:v>
                </c:pt>
                <c:pt idx="4">
                  <c:v>0.16107382550335569</c:v>
                </c:pt>
                <c:pt idx="5">
                  <c:v>0.20134228187919462</c:v>
                </c:pt>
                <c:pt idx="6">
                  <c:v>0.24161073825503354</c:v>
                </c:pt>
                <c:pt idx="7">
                  <c:v>0.28187919463087246</c:v>
                </c:pt>
                <c:pt idx="8">
                  <c:v>0.32214765100671139</c:v>
                </c:pt>
                <c:pt idx="9">
                  <c:v>0.36241610738255031</c:v>
                </c:pt>
                <c:pt idx="10">
                  <c:v>0.40268456375838924</c:v>
                </c:pt>
                <c:pt idx="11">
                  <c:v>0.44295302013422816</c:v>
                </c:pt>
                <c:pt idx="12">
                  <c:v>0.48322147651006708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0.45973154362416108</c:v>
                </c:pt>
                <c:pt idx="47">
                  <c:v>0.41946308724832215</c:v>
                </c:pt>
                <c:pt idx="48">
                  <c:v>0.37919463087248323</c:v>
                </c:pt>
                <c:pt idx="49">
                  <c:v>0.33892617449664431</c:v>
                </c:pt>
                <c:pt idx="50">
                  <c:v>0.29865771812080538</c:v>
                </c:pt>
                <c:pt idx="51">
                  <c:v>0.25838926174496646</c:v>
                </c:pt>
                <c:pt idx="52">
                  <c:v>0.21812080536912754</c:v>
                </c:pt>
                <c:pt idx="53">
                  <c:v>0.17785234899328861</c:v>
                </c:pt>
                <c:pt idx="54">
                  <c:v>0.13758389261744969</c:v>
                </c:pt>
                <c:pt idx="55">
                  <c:v>9.7315436241610764E-2</c:v>
                </c:pt>
                <c:pt idx="56">
                  <c:v>5.7046979865771841E-2</c:v>
                </c:pt>
                <c:pt idx="57">
                  <c:v>1.6778523489932917E-2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4-4BD9-8859-B3E31995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3.3599999999999994</c:v>
                </c:pt>
                <c:pt idx="9">
                  <c:v>4.3199999999999994</c:v>
                </c:pt>
                <c:pt idx="10">
                  <c:v>5.3999999999999995</c:v>
                </c:pt>
                <c:pt idx="11">
                  <c:v>6.6</c:v>
                </c:pt>
                <c:pt idx="12">
                  <c:v>7.92</c:v>
                </c:pt>
                <c:pt idx="13">
                  <c:v>9.36</c:v>
                </c:pt>
                <c:pt idx="14">
                  <c:v>10.85</c:v>
                </c:pt>
                <c:pt idx="15">
                  <c:v>12.34</c:v>
                </c:pt>
                <c:pt idx="16">
                  <c:v>13.83</c:v>
                </c:pt>
                <c:pt idx="17">
                  <c:v>15.32</c:v>
                </c:pt>
                <c:pt idx="18">
                  <c:v>16.809999999999999</c:v>
                </c:pt>
                <c:pt idx="19">
                  <c:v>18.299999999999997</c:v>
                </c:pt>
                <c:pt idx="20">
                  <c:v>19.789999999999996</c:v>
                </c:pt>
                <c:pt idx="21">
                  <c:v>21.279999999999994</c:v>
                </c:pt>
                <c:pt idx="22">
                  <c:v>22.769999999999992</c:v>
                </c:pt>
                <c:pt idx="23">
                  <c:v>24.259999999999991</c:v>
                </c:pt>
                <c:pt idx="24">
                  <c:v>25.749999999999989</c:v>
                </c:pt>
                <c:pt idx="25">
                  <c:v>27.239999999999988</c:v>
                </c:pt>
                <c:pt idx="26">
                  <c:v>28.729999999999986</c:v>
                </c:pt>
                <c:pt idx="27">
                  <c:v>30.219999999999985</c:v>
                </c:pt>
                <c:pt idx="28">
                  <c:v>31.709999999999983</c:v>
                </c:pt>
                <c:pt idx="29">
                  <c:v>33.199999999999982</c:v>
                </c:pt>
                <c:pt idx="30">
                  <c:v>34.689999999999984</c:v>
                </c:pt>
                <c:pt idx="31">
                  <c:v>36.179999999999986</c:v>
                </c:pt>
                <c:pt idx="32">
                  <c:v>37.669999999999987</c:v>
                </c:pt>
                <c:pt idx="33">
                  <c:v>39.159999999999989</c:v>
                </c:pt>
                <c:pt idx="34">
                  <c:v>40.649999999999991</c:v>
                </c:pt>
                <c:pt idx="35">
                  <c:v>42.139999999999993</c:v>
                </c:pt>
                <c:pt idx="36">
                  <c:v>43.629999999999995</c:v>
                </c:pt>
                <c:pt idx="37">
                  <c:v>45.12</c:v>
                </c:pt>
                <c:pt idx="38">
                  <c:v>46.61</c:v>
                </c:pt>
                <c:pt idx="39">
                  <c:v>48.1</c:v>
                </c:pt>
                <c:pt idx="40">
                  <c:v>49.59</c:v>
                </c:pt>
                <c:pt idx="41">
                  <c:v>51.080000000000005</c:v>
                </c:pt>
                <c:pt idx="42">
                  <c:v>52.570000000000007</c:v>
                </c:pt>
                <c:pt idx="43">
                  <c:v>54.060000000000009</c:v>
                </c:pt>
                <c:pt idx="44">
                  <c:v>55.550000000000011</c:v>
                </c:pt>
                <c:pt idx="45">
                  <c:v>57.040000000000013</c:v>
                </c:pt>
                <c:pt idx="46">
                  <c:v>58.530000000000015</c:v>
                </c:pt>
                <c:pt idx="47">
                  <c:v>59.900000000000013</c:v>
                </c:pt>
                <c:pt idx="48">
                  <c:v>61.150000000000013</c:v>
                </c:pt>
                <c:pt idx="49">
                  <c:v>62.280000000000015</c:v>
                </c:pt>
                <c:pt idx="50">
                  <c:v>63.290000000000013</c:v>
                </c:pt>
                <c:pt idx="51">
                  <c:v>64.180000000000007</c:v>
                </c:pt>
                <c:pt idx="52">
                  <c:v>64.95</c:v>
                </c:pt>
                <c:pt idx="53">
                  <c:v>65.600000000000009</c:v>
                </c:pt>
                <c:pt idx="54">
                  <c:v>66.13000000000001</c:v>
                </c:pt>
                <c:pt idx="55">
                  <c:v>66.540000000000006</c:v>
                </c:pt>
                <c:pt idx="56">
                  <c:v>66.830000000000013</c:v>
                </c:pt>
                <c:pt idx="57">
                  <c:v>67.000000000000014</c:v>
                </c:pt>
                <c:pt idx="58">
                  <c:v>67.050000000000011</c:v>
                </c:pt>
                <c:pt idx="59">
                  <c:v>67.050000000000011</c:v>
                </c:pt>
                <c:pt idx="60">
                  <c:v>67.050000000000011</c:v>
                </c:pt>
                <c:pt idx="61">
                  <c:v>67.050000000000011</c:v>
                </c:pt>
                <c:pt idx="62">
                  <c:v>67.050000000000011</c:v>
                </c:pt>
                <c:pt idx="63">
                  <c:v>67.050000000000011</c:v>
                </c:pt>
                <c:pt idx="64">
                  <c:v>67.050000000000011</c:v>
                </c:pt>
                <c:pt idx="65">
                  <c:v>67.050000000000011</c:v>
                </c:pt>
                <c:pt idx="66">
                  <c:v>67.050000000000011</c:v>
                </c:pt>
                <c:pt idx="67">
                  <c:v>67.050000000000011</c:v>
                </c:pt>
                <c:pt idx="68">
                  <c:v>67.050000000000011</c:v>
                </c:pt>
                <c:pt idx="69">
                  <c:v>67.050000000000011</c:v>
                </c:pt>
                <c:pt idx="70">
                  <c:v>67.050000000000011</c:v>
                </c:pt>
                <c:pt idx="71">
                  <c:v>67.050000000000011</c:v>
                </c:pt>
                <c:pt idx="72">
                  <c:v>67.050000000000011</c:v>
                </c:pt>
                <c:pt idx="73">
                  <c:v>67.050000000000011</c:v>
                </c:pt>
                <c:pt idx="74">
                  <c:v>67.050000000000011</c:v>
                </c:pt>
                <c:pt idx="75">
                  <c:v>67.050000000000011</c:v>
                </c:pt>
                <c:pt idx="76">
                  <c:v>67.050000000000011</c:v>
                </c:pt>
                <c:pt idx="77">
                  <c:v>67.050000000000011</c:v>
                </c:pt>
                <c:pt idx="78">
                  <c:v>67.050000000000011</c:v>
                </c:pt>
                <c:pt idx="79">
                  <c:v>67.050000000000011</c:v>
                </c:pt>
                <c:pt idx="80">
                  <c:v>67.050000000000011</c:v>
                </c:pt>
                <c:pt idx="81">
                  <c:v>67.050000000000011</c:v>
                </c:pt>
                <c:pt idx="82">
                  <c:v>67.050000000000011</c:v>
                </c:pt>
                <c:pt idx="83">
                  <c:v>67.050000000000011</c:v>
                </c:pt>
                <c:pt idx="84">
                  <c:v>67.050000000000011</c:v>
                </c:pt>
                <c:pt idx="85">
                  <c:v>67.050000000000011</c:v>
                </c:pt>
                <c:pt idx="86">
                  <c:v>67.050000000000011</c:v>
                </c:pt>
                <c:pt idx="87">
                  <c:v>67.050000000000011</c:v>
                </c:pt>
                <c:pt idx="88">
                  <c:v>67.050000000000011</c:v>
                </c:pt>
                <c:pt idx="89">
                  <c:v>67.050000000000011</c:v>
                </c:pt>
                <c:pt idx="90">
                  <c:v>67.050000000000011</c:v>
                </c:pt>
                <c:pt idx="91">
                  <c:v>67.050000000000011</c:v>
                </c:pt>
                <c:pt idx="92">
                  <c:v>67.050000000000011</c:v>
                </c:pt>
                <c:pt idx="93">
                  <c:v>67.050000000000011</c:v>
                </c:pt>
                <c:pt idx="94">
                  <c:v>67.050000000000011</c:v>
                </c:pt>
                <c:pt idx="95">
                  <c:v>67.050000000000011</c:v>
                </c:pt>
                <c:pt idx="96">
                  <c:v>67.050000000000011</c:v>
                </c:pt>
                <c:pt idx="97">
                  <c:v>67.050000000000011</c:v>
                </c:pt>
                <c:pt idx="98">
                  <c:v>67.050000000000011</c:v>
                </c:pt>
                <c:pt idx="99">
                  <c:v>67.050000000000011</c:v>
                </c:pt>
                <c:pt idx="100">
                  <c:v>67.050000000000011</c:v>
                </c:pt>
                <c:pt idx="101">
                  <c:v>67.050000000000011</c:v>
                </c:pt>
                <c:pt idx="102">
                  <c:v>67.050000000000011</c:v>
                </c:pt>
                <c:pt idx="103">
                  <c:v>67.050000000000011</c:v>
                </c:pt>
                <c:pt idx="104">
                  <c:v>67.050000000000011</c:v>
                </c:pt>
                <c:pt idx="105">
                  <c:v>67.050000000000011</c:v>
                </c:pt>
                <c:pt idx="106">
                  <c:v>67.050000000000011</c:v>
                </c:pt>
                <c:pt idx="107">
                  <c:v>67.050000000000011</c:v>
                </c:pt>
                <c:pt idx="108">
                  <c:v>67.050000000000011</c:v>
                </c:pt>
                <c:pt idx="109">
                  <c:v>67.050000000000011</c:v>
                </c:pt>
                <c:pt idx="110">
                  <c:v>67.050000000000011</c:v>
                </c:pt>
                <c:pt idx="111">
                  <c:v>67.050000000000011</c:v>
                </c:pt>
                <c:pt idx="112">
                  <c:v>67.050000000000011</c:v>
                </c:pt>
                <c:pt idx="113">
                  <c:v>67.050000000000011</c:v>
                </c:pt>
                <c:pt idx="114">
                  <c:v>67.050000000000011</c:v>
                </c:pt>
                <c:pt idx="115">
                  <c:v>67.050000000000011</c:v>
                </c:pt>
                <c:pt idx="116">
                  <c:v>67.050000000000011</c:v>
                </c:pt>
                <c:pt idx="117">
                  <c:v>67.050000000000011</c:v>
                </c:pt>
                <c:pt idx="118">
                  <c:v>67.050000000000011</c:v>
                </c:pt>
                <c:pt idx="119">
                  <c:v>67.050000000000011</c:v>
                </c:pt>
                <c:pt idx="120">
                  <c:v>67.050000000000011</c:v>
                </c:pt>
                <c:pt idx="121">
                  <c:v>67.050000000000011</c:v>
                </c:pt>
                <c:pt idx="122">
                  <c:v>67.050000000000011</c:v>
                </c:pt>
                <c:pt idx="123">
                  <c:v>67.050000000000011</c:v>
                </c:pt>
                <c:pt idx="124">
                  <c:v>67.050000000000011</c:v>
                </c:pt>
                <c:pt idx="125">
                  <c:v>67.050000000000011</c:v>
                </c:pt>
                <c:pt idx="126">
                  <c:v>67.050000000000011</c:v>
                </c:pt>
                <c:pt idx="127">
                  <c:v>67.050000000000011</c:v>
                </c:pt>
                <c:pt idx="128">
                  <c:v>67.050000000000011</c:v>
                </c:pt>
                <c:pt idx="129">
                  <c:v>67.050000000000011</c:v>
                </c:pt>
                <c:pt idx="130">
                  <c:v>67.050000000000011</c:v>
                </c:pt>
                <c:pt idx="131">
                  <c:v>67.050000000000011</c:v>
                </c:pt>
                <c:pt idx="132">
                  <c:v>67.050000000000011</c:v>
                </c:pt>
                <c:pt idx="133">
                  <c:v>67.050000000000011</c:v>
                </c:pt>
                <c:pt idx="134">
                  <c:v>67.050000000000011</c:v>
                </c:pt>
                <c:pt idx="135">
                  <c:v>67.050000000000011</c:v>
                </c:pt>
                <c:pt idx="136">
                  <c:v>67.050000000000011</c:v>
                </c:pt>
                <c:pt idx="137">
                  <c:v>67.050000000000011</c:v>
                </c:pt>
                <c:pt idx="138">
                  <c:v>67.050000000000011</c:v>
                </c:pt>
                <c:pt idx="139">
                  <c:v>67.050000000000011</c:v>
                </c:pt>
                <c:pt idx="140">
                  <c:v>67.050000000000011</c:v>
                </c:pt>
                <c:pt idx="141">
                  <c:v>67.050000000000011</c:v>
                </c:pt>
                <c:pt idx="142">
                  <c:v>67.050000000000011</c:v>
                </c:pt>
                <c:pt idx="143">
                  <c:v>67.050000000000011</c:v>
                </c:pt>
                <c:pt idx="144">
                  <c:v>67.050000000000011</c:v>
                </c:pt>
                <c:pt idx="145">
                  <c:v>67.050000000000011</c:v>
                </c:pt>
                <c:pt idx="146">
                  <c:v>67.050000000000011</c:v>
                </c:pt>
                <c:pt idx="147">
                  <c:v>67.050000000000011</c:v>
                </c:pt>
                <c:pt idx="148">
                  <c:v>67.050000000000011</c:v>
                </c:pt>
                <c:pt idx="149">
                  <c:v>67.050000000000011</c:v>
                </c:pt>
                <c:pt idx="150">
                  <c:v>67.050000000000011</c:v>
                </c:pt>
                <c:pt idx="151">
                  <c:v>67.050000000000011</c:v>
                </c:pt>
                <c:pt idx="152">
                  <c:v>67.050000000000011</c:v>
                </c:pt>
                <c:pt idx="153">
                  <c:v>67.050000000000011</c:v>
                </c:pt>
                <c:pt idx="154">
                  <c:v>67.050000000000011</c:v>
                </c:pt>
                <c:pt idx="155">
                  <c:v>67.050000000000011</c:v>
                </c:pt>
                <c:pt idx="156">
                  <c:v>67.050000000000011</c:v>
                </c:pt>
                <c:pt idx="157">
                  <c:v>67.050000000000011</c:v>
                </c:pt>
                <c:pt idx="158">
                  <c:v>67.050000000000011</c:v>
                </c:pt>
                <c:pt idx="159">
                  <c:v>67.050000000000011</c:v>
                </c:pt>
                <c:pt idx="160">
                  <c:v>67.050000000000011</c:v>
                </c:pt>
                <c:pt idx="161">
                  <c:v>67.050000000000011</c:v>
                </c:pt>
                <c:pt idx="162">
                  <c:v>67.050000000000011</c:v>
                </c:pt>
                <c:pt idx="163">
                  <c:v>67.050000000000011</c:v>
                </c:pt>
                <c:pt idx="164">
                  <c:v>67.050000000000011</c:v>
                </c:pt>
                <c:pt idx="165">
                  <c:v>67.050000000000011</c:v>
                </c:pt>
                <c:pt idx="166">
                  <c:v>67.050000000000011</c:v>
                </c:pt>
                <c:pt idx="167">
                  <c:v>67.050000000000011</c:v>
                </c:pt>
                <c:pt idx="168">
                  <c:v>67.050000000000011</c:v>
                </c:pt>
                <c:pt idx="169">
                  <c:v>67.050000000000011</c:v>
                </c:pt>
                <c:pt idx="170">
                  <c:v>67.050000000000011</c:v>
                </c:pt>
                <c:pt idx="171">
                  <c:v>67.050000000000011</c:v>
                </c:pt>
                <c:pt idx="172">
                  <c:v>67.050000000000011</c:v>
                </c:pt>
                <c:pt idx="173">
                  <c:v>67.050000000000011</c:v>
                </c:pt>
                <c:pt idx="174">
                  <c:v>67.050000000000011</c:v>
                </c:pt>
                <c:pt idx="175">
                  <c:v>67.050000000000011</c:v>
                </c:pt>
                <c:pt idx="176">
                  <c:v>67.050000000000011</c:v>
                </c:pt>
                <c:pt idx="177">
                  <c:v>67.050000000000011</c:v>
                </c:pt>
                <c:pt idx="178">
                  <c:v>67.050000000000011</c:v>
                </c:pt>
                <c:pt idx="179">
                  <c:v>67.050000000000011</c:v>
                </c:pt>
                <c:pt idx="180">
                  <c:v>67.050000000000011</c:v>
                </c:pt>
                <c:pt idx="181">
                  <c:v>67.050000000000011</c:v>
                </c:pt>
                <c:pt idx="182">
                  <c:v>67.050000000000011</c:v>
                </c:pt>
                <c:pt idx="183">
                  <c:v>67.050000000000011</c:v>
                </c:pt>
                <c:pt idx="184">
                  <c:v>67.050000000000011</c:v>
                </c:pt>
                <c:pt idx="185">
                  <c:v>67.050000000000011</c:v>
                </c:pt>
                <c:pt idx="186">
                  <c:v>67.050000000000011</c:v>
                </c:pt>
                <c:pt idx="187">
                  <c:v>67.050000000000011</c:v>
                </c:pt>
                <c:pt idx="188">
                  <c:v>67.050000000000011</c:v>
                </c:pt>
                <c:pt idx="189">
                  <c:v>67.050000000000011</c:v>
                </c:pt>
                <c:pt idx="190">
                  <c:v>67.050000000000011</c:v>
                </c:pt>
                <c:pt idx="191">
                  <c:v>67.050000000000011</c:v>
                </c:pt>
                <c:pt idx="192">
                  <c:v>67.050000000000011</c:v>
                </c:pt>
                <c:pt idx="193">
                  <c:v>67.050000000000011</c:v>
                </c:pt>
                <c:pt idx="194">
                  <c:v>67.050000000000011</c:v>
                </c:pt>
                <c:pt idx="195">
                  <c:v>67.050000000000011</c:v>
                </c:pt>
                <c:pt idx="196">
                  <c:v>67.050000000000011</c:v>
                </c:pt>
                <c:pt idx="197">
                  <c:v>67.050000000000011</c:v>
                </c:pt>
                <c:pt idx="198">
                  <c:v>67.050000000000011</c:v>
                </c:pt>
                <c:pt idx="199">
                  <c:v>67.050000000000011</c:v>
                </c:pt>
                <c:pt idx="200">
                  <c:v>67.050000000000011</c:v>
                </c:pt>
                <c:pt idx="201">
                  <c:v>67.050000000000011</c:v>
                </c:pt>
                <c:pt idx="202">
                  <c:v>67.050000000000011</c:v>
                </c:pt>
                <c:pt idx="203">
                  <c:v>67.050000000000011</c:v>
                </c:pt>
                <c:pt idx="204">
                  <c:v>67.050000000000011</c:v>
                </c:pt>
                <c:pt idx="205">
                  <c:v>67.050000000000011</c:v>
                </c:pt>
                <c:pt idx="206">
                  <c:v>67.050000000000011</c:v>
                </c:pt>
                <c:pt idx="207">
                  <c:v>67.050000000000011</c:v>
                </c:pt>
                <c:pt idx="208">
                  <c:v>67.050000000000011</c:v>
                </c:pt>
                <c:pt idx="209">
                  <c:v>67.050000000000011</c:v>
                </c:pt>
                <c:pt idx="210">
                  <c:v>67.050000000000011</c:v>
                </c:pt>
                <c:pt idx="211">
                  <c:v>67.050000000000011</c:v>
                </c:pt>
                <c:pt idx="212">
                  <c:v>67.050000000000011</c:v>
                </c:pt>
                <c:pt idx="213">
                  <c:v>67.050000000000011</c:v>
                </c:pt>
                <c:pt idx="214">
                  <c:v>67.050000000000011</c:v>
                </c:pt>
                <c:pt idx="215">
                  <c:v>67.050000000000011</c:v>
                </c:pt>
                <c:pt idx="216">
                  <c:v>67.050000000000011</c:v>
                </c:pt>
                <c:pt idx="217">
                  <c:v>67.050000000000011</c:v>
                </c:pt>
                <c:pt idx="218">
                  <c:v>67.050000000000011</c:v>
                </c:pt>
                <c:pt idx="219">
                  <c:v>67.050000000000011</c:v>
                </c:pt>
                <c:pt idx="220">
                  <c:v>67.050000000000011</c:v>
                </c:pt>
                <c:pt idx="221">
                  <c:v>67.050000000000011</c:v>
                </c:pt>
                <c:pt idx="222">
                  <c:v>67.050000000000011</c:v>
                </c:pt>
                <c:pt idx="223">
                  <c:v>67.050000000000011</c:v>
                </c:pt>
                <c:pt idx="224">
                  <c:v>67.050000000000011</c:v>
                </c:pt>
                <c:pt idx="225">
                  <c:v>67.050000000000011</c:v>
                </c:pt>
                <c:pt idx="226">
                  <c:v>67.050000000000011</c:v>
                </c:pt>
                <c:pt idx="227">
                  <c:v>67.050000000000011</c:v>
                </c:pt>
                <c:pt idx="228">
                  <c:v>67.050000000000011</c:v>
                </c:pt>
                <c:pt idx="229">
                  <c:v>67.050000000000011</c:v>
                </c:pt>
                <c:pt idx="230">
                  <c:v>67.050000000000011</c:v>
                </c:pt>
                <c:pt idx="231">
                  <c:v>67.050000000000011</c:v>
                </c:pt>
                <c:pt idx="232">
                  <c:v>67.050000000000011</c:v>
                </c:pt>
                <c:pt idx="233">
                  <c:v>67.050000000000011</c:v>
                </c:pt>
                <c:pt idx="234">
                  <c:v>67.050000000000011</c:v>
                </c:pt>
                <c:pt idx="235">
                  <c:v>67.050000000000011</c:v>
                </c:pt>
                <c:pt idx="236">
                  <c:v>67.050000000000011</c:v>
                </c:pt>
                <c:pt idx="237">
                  <c:v>67.050000000000011</c:v>
                </c:pt>
                <c:pt idx="238">
                  <c:v>67.050000000000011</c:v>
                </c:pt>
                <c:pt idx="239">
                  <c:v>67.050000000000011</c:v>
                </c:pt>
                <c:pt idx="240">
                  <c:v>67.050000000000011</c:v>
                </c:pt>
                <c:pt idx="241">
                  <c:v>67.050000000000011</c:v>
                </c:pt>
                <c:pt idx="242">
                  <c:v>67.050000000000011</c:v>
                </c:pt>
                <c:pt idx="243">
                  <c:v>67.050000000000011</c:v>
                </c:pt>
                <c:pt idx="244">
                  <c:v>67.050000000000011</c:v>
                </c:pt>
                <c:pt idx="245">
                  <c:v>67.050000000000011</c:v>
                </c:pt>
                <c:pt idx="246">
                  <c:v>67.050000000000011</c:v>
                </c:pt>
                <c:pt idx="247">
                  <c:v>67.050000000000011</c:v>
                </c:pt>
                <c:pt idx="248">
                  <c:v>67.050000000000011</c:v>
                </c:pt>
                <c:pt idx="249">
                  <c:v>67.050000000000011</c:v>
                </c:pt>
                <c:pt idx="250">
                  <c:v>67.050000000000011</c:v>
                </c:pt>
                <c:pt idx="251">
                  <c:v>67.050000000000011</c:v>
                </c:pt>
                <c:pt idx="252">
                  <c:v>67.050000000000011</c:v>
                </c:pt>
                <c:pt idx="253">
                  <c:v>67.050000000000011</c:v>
                </c:pt>
                <c:pt idx="254">
                  <c:v>67.050000000000011</c:v>
                </c:pt>
                <c:pt idx="255">
                  <c:v>67.050000000000011</c:v>
                </c:pt>
                <c:pt idx="256">
                  <c:v>67.050000000000011</c:v>
                </c:pt>
                <c:pt idx="257">
                  <c:v>67.050000000000011</c:v>
                </c:pt>
                <c:pt idx="258">
                  <c:v>67.050000000000011</c:v>
                </c:pt>
                <c:pt idx="259">
                  <c:v>67.050000000000011</c:v>
                </c:pt>
                <c:pt idx="260">
                  <c:v>67.050000000000011</c:v>
                </c:pt>
                <c:pt idx="261">
                  <c:v>67.050000000000011</c:v>
                </c:pt>
                <c:pt idx="262">
                  <c:v>67.050000000000011</c:v>
                </c:pt>
                <c:pt idx="263">
                  <c:v>67.050000000000011</c:v>
                </c:pt>
                <c:pt idx="264">
                  <c:v>67.050000000000011</c:v>
                </c:pt>
                <c:pt idx="265">
                  <c:v>67.050000000000011</c:v>
                </c:pt>
                <c:pt idx="266">
                  <c:v>67.050000000000011</c:v>
                </c:pt>
                <c:pt idx="267">
                  <c:v>67.050000000000011</c:v>
                </c:pt>
                <c:pt idx="268">
                  <c:v>67.050000000000011</c:v>
                </c:pt>
                <c:pt idx="269">
                  <c:v>67.050000000000011</c:v>
                </c:pt>
                <c:pt idx="270">
                  <c:v>67.050000000000011</c:v>
                </c:pt>
                <c:pt idx="271">
                  <c:v>67.050000000000011</c:v>
                </c:pt>
                <c:pt idx="272">
                  <c:v>67.050000000000011</c:v>
                </c:pt>
                <c:pt idx="273">
                  <c:v>67.050000000000011</c:v>
                </c:pt>
                <c:pt idx="274">
                  <c:v>67.050000000000011</c:v>
                </c:pt>
                <c:pt idx="275">
                  <c:v>67.050000000000011</c:v>
                </c:pt>
                <c:pt idx="276">
                  <c:v>67.050000000000011</c:v>
                </c:pt>
                <c:pt idx="277">
                  <c:v>67.050000000000011</c:v>
                </c:pt>
                <c:pt idx="278">
                  <c:v>67.050000000000011</c:v>
                </c:pt>
                <c:pt idx="279">
                  <c:v>67.050000000000011</c:v>
                </c:pt>
                <c:pt idx="280">
                  <c:v>67.050000000000011</c:v>
                </c:pt>
                <c:pt idx="281">
                  <c:v>67.050000000000011</c:v>
                </c:pt>
                <c:pt idx="282">
                  <c:v>67.050000000000011</c:v>
                </c:pt>
                <c:pt idx="283">
                  <c:v>67.050000000000011</c:v>
                </c:pt>
                <c:pt idx="284">
                  <c:v>67.050000000000011</c:v>
                </c:pt>
                <c:pt idx="285">
                  <c:v>67.050000000000011</c:v>
                </c:pt>
                <c:pt idx="286">
                  <c:v>67.050000000000011</c:v>
                </c:pt>
                <c:pt idx="287">
                  <c:v>67.050000000000011</c:v>
                </c:pt>
                <c:pt idx="288">
                  <c:v>67.050000000000011</c:v>
                </c:pt>
                <c:pt idx="289">
                  <c:v>67.050000000000011</c:v>
                </c:pt>
                <c:pt idx="290">
                  <c:v>67.050000000000011</c:v>
                </c:pt>
                <c:pt idx="291">
                  <c:v>67.050000000000011</c:v>
                </c:pt>
                <c:pt idx="292">
                  <c:v>67.050000000000011</c:v>
                </c:pt>
                <c:pt idx="293">
                  <c:v>67.050000000000011</c:v>
                </c:pt>
                <c:pt idx="294">
                  <c:v>67.050000000000011</c:v>
                </c:pt>
                <c:pt idx="295">
                  <c:v>67.050000000000011</c:v>
                </c:pt>
                <c:pt idx="296">
                  <c:v>67.050000000000011</c:v>
                </c:pt>
                <c:pt idx="297">
                  <c:v>67.050000000000011</c:v>
                </c:pt>
                <c:pt idx="298">
                  <c:v>67.050000000000011</c:v>
                </c:pt>
                <c:pt idx="299">
                  <c:v>67.050000000000011</c:v>
                </c:pt>
                <c:pt idx="300">
                  <c:v>67.050000000000011</c:v>
                </c:pt>
                <c:pt idx="301">
                  <c:v>67.050000000000011</c:v>
                </c:pt>
                <c:pt idx="302">
                  <c:v>67.050000000000011</c:v>
                </c:pt>
                <c:pt idx="303">
                  <c:v>67.050000000000011</c:v>
                </c:pt>
                <c:pt idx="304">
                  <c:v>67.050000000000011</c:v>
                </c:pt>
                <c:pt idx="305">
                  <c:v>67.050000000000011</c:v>
                </c:pt>
                <c:pt idx="306">
                  <c:v>67.050000000000011</c:v>
                </c:pt>
                <c:pt idx="307">
                  <c:v>67.050000000000011</c:v>
                </c:pt>
                <c:pt idx="308">
                  <c:v>67.050000000000011</c:v>
                </c:pt>
                <c:pt idx="309">
                  <c:v>67.050000000000011</c:v>
                </c:pt>
                <c:pt idx="310">
                  <c:v>67.050000000000011</c:v>
                </c:pt>
                <c:pt idx="311">
                  <c:v>67.050000000000011</c:v>
                </c:pt>
                <c:pt idx="312">
                  <c:v>67.050000000000011</c:v>
                </c:pt>
                <c:pt idx="313">
                  <c:v>67.050000000000011</c:v>
                </c:pt>
                <c:pt idx="314">
                  <c:v>67.050000000000011</c:v>
                </c:pt>
                <c:pt idx="315">
                  <c:v>67.050000000000011</c:v>
                </c:pt>
                <c:pt idx="316">
                  <c:v>67.050000000000011</c:v>
                </c:pt>
                <c:pt idx="317">
                  <c:v>67.050000000000011</c:v>
                </c:pt>
                <c:pt idx="318">
                  <c:v>67.050000000000011</c:v>
                </c:pt>
                <c:pt idx="319">
                  <c:v>67.050000000000011</c:v>
                </c:pt>
                <c:pt idx="320">
                  <c:v>67.050000000000011</c:v>
                </c:pt>
                <c:pt idx="321">
                  <c:v>67.050000000000011</c:v>
                </c:pt>
                <c:pt idx="322">
                  <c:v>67.050000000000011</c:v>
                </c:pt>
                <c:pt idx="323">
                  <c:v>67.050000000000011</c:v>
                </c:pt>
                <c:pt idx="324">
                  <c:v>67.050000000000011</c:v>
                </c:pt>
                <c:pt idx="325">
                  <c:v>67.050000000000011</c:v>
                </c:pt>
                <c:pt idx="326">
                  <c:v>67.050000000000011</c:v>
                </c:pt>
                <c:pt idx="327">
                  <c:v>67.050000000000011</c:v>
                </c:pt>
                <c:pt idx="328">
                  <c:v>67.050000000000011</c:v>
                </c:pt>
                <c:pt idx="329">
                  <c:v>67.050000000000011</c:v>
                </c:pt>
                <c:pt idx="330">
                  <c:v>67.050000000000011</c:v>
                </c:pt>
                <c:pt idx="331">
                  <c:v>67.050000000000011</c:v>
                </c:pt>
                <c:pt idx="332">
                  <c:v>67.050000000000011</c:v>
                </c:pt>
                <c:pt idx="333">
                  <c:v>67.050000000000011</c:v>
                </c:pt>
                <c:pt idx="334">
                  <c:v>67.050000000000011</c:v>
                </c:pt>
                <c:pt idx="335">
                  <c:v>67.050000000000011</c:v>
                </c:pt>
                <c:pt idx="336">
                  <c:v>67.050000000000011</c:v>
                </c:pt>
                <c:pt idx="337">
                  <c:v>67.050000000000011</c:v>
                </c:pt>
                <c:pt idx="338">
                  <c:v>67.050000000000011</c:v>
                </c:pt>
                <c:pt idx="339">
                  <c:v>67.050000000000011</c:v>
                </c:pt>
                <c:pt idx="340">
                  <c:v>67.050000000000011</c:v>
                </c:pt>
                <c:pt idx="341">
                  <c:v>67.050000000000011</c:v>
                </c:pt>
                <c:pt idx="342">
                  <c:v>67.050000000000011</c:v>
                </c:pt>
                <c:pt idx="343">
                  <c:v>67.050000000000011</c:v>
                </c:pt>
                <c:pt idx="344">
                  <c:v>67.050000000000011</c:v>
                </c:pt>
                <c:pt idx="345">
                  <c:v>67.050000000000011</c:v>
                </c:pt>
                <c:pt idx="346">
                  <c:v>67.050000000000011</c:v>
                </c:pt>
                <c:pt idx="347">
                  <c:v>67.050000000000011</c:v>
                </c:pt>
                <c:pt idx="348">
                  <c:v>67.050000000000011</c:v>
                </c:pt>
                <c:pt idx="349">
                  <c:v>67.050000000000011</c:v>
                </c:pt>
                <c:pt idx="350">
                  <c:v>67.050000000000011</c:v>
                </c:pt>
                <c:pt idx="351">
                  <c:v>67.050000000000011</c:v>
                </c:pt>
                <c:pt idx="352">
                  <c:v>67.050000000000011</c:v>
                </c:pt>
                <c:pt idx="353">
                  <c:v>67.050000000000011</c:v>
                </c:pt>
                <c:pt idx="354">
                  <c:v>67.050000000000011</c:v>
                </c:pt>
                <c:pt idx="355">
                  <c:v>67.050000000000011</c:v>
                </c:pt>
                <c:pt idx="356">
                  <c:v>67.050000000000011</c:v>
                </c:pt>
                <c:pt idx="357">
                  <c:v>67.050000000000011</c:v>
                </c:pt>
                <c:pt idx="358">
                  <c:v>67.050000000000011</c:v>
                </c:pt>
                <c:pt idx="359">
                  <c:v>67.050000000000011</c:v>
                </c:pt>
                <c:pt idx="360">
                  <c:v>67.050000000000011</c:v>
                </c:pt>
                <c:pt idx="361">
                  <c:v>67.050000000000011</c:v>
                </c:pt>
                <c:pt idx="362">
                  <c:v>67.050000000000011</c:v>
                </c:pt>
                <c:pt idx="363">
                  <c:v>67.050000000000011</c:v>
                </c:pt>
                <c:pt idx="364">
                  <c:v>67.050000000000011</c:v>
                </c:pt>
                <c:pt idx="365">
                  <c:v>67.050000000000011</c:v>
                </c:pt>
                <c:pt idx="366">
                  <c:v>67.050000000000011</c:v>
                </c:pt>
                <c:pt idx="367">
                  <c:v>67.050000000000011</c:v>
                </c:pt>
                <c:pt idx="368">
                  <c:v>67.050000000000011</c:v>
                </c:pt>
                <c:pt idx="369">
                  <c:v>67.050000000000011</c:v>
                </c:pt>
                <c:pt idx="370">
                  <c:v>67.050000000000011</c:v>
                </c:pt>
                <c:pt idx="371">
                  <c:v>67.050000000000011</c:v>
                </c:pt>
                <c:pt idx="372">
                  <c:v>67.050000000000011</c:v>
                </c:pt>
                <c:pt idx="373">
                  <c:v>67.050000000000011</c:v>
                </c:pt>
                <c:pt idx="374">
                  <c:v>67.050000000000011</c:v>
                </c:pt>
                <c:pt idx="375">
                  <c:v>67.050000000000011</c:v>
                </c:pt>
                <c:pt idx="376">
                  <c:v>67.050000000000011</c:v>
                </c:pt>
                <c:pt idx="377">
                  <c:v>67.050000000000011</c:v>
                </c:pt>
                <c:pt idx="378">
                  <c:v>67.050000000000011</c:v>
                </c:pt>
                <c:pt idx="379">
                  <c:v>67.050000000000011</c:v>
                </c:pt>
                <c:pt idx="380">
                  <c:v>67.050000000000011</c:v>
                </c:pt>
                <c:pt idx="381">
                  <c:v>67.050000000000011</c:v>
                </c:pt>
                <c:pt idx="382">
                  <c:v>67.050000000000011</c:v>
                </c:pt>
                <c:pt idx="383">
                  <c:v>67.050000000000011</c:v>
                </c:pt>
                <c:pt idx="384">
                  <c:v>67.050000000000011</c:v>
                </c:pt>
                <c:pt idx="385">
                  <c:v>67.050000000000011</c:v>
                </c:pt>
                <c:pt idx="386">
                  <c:v>67.050000000000011</c:v>
                </c:pt>
                <c:pt idx="387">
                  <c:v>67.050000000000011</c:v>
                </c:pt>
                <c:pt idx="388">
                  <c:v>67.050000000000011</c:v>
                </c:pt>
                <c:pt idx="389">
                  <c:v>67.050000000000011</c:v>
                </c:pt>
                <c:pt idx="390">
                  <c:v>67.050000000000011</c:v>
                </c:pt>
                <c:pt idx="391">
                  <c:v>67.050000000000011</c:v>
                </c:pt>
                <c:pt idx="392">
                  <c:v>67.050000000000011</c:v>
                </c:pt>
                <c:pt idx="393">
                  <c:v>67.050000000000011</c:v>
                </c:pt>
                <c:pt idx="394">
                  <c:v>67.050000000000011</c:v>
                </c:pt>
                <c:pt idx="395">
                  <c:v>67.050000000000011</c:v>
                </c:pt>
                <c:pt idx="396">
                  <c:v>67.050000000000011</c:v>
                </c:pt>
                <c:pt idx="397">
                  <c:v>67.050000000000011</c:v>
                </c:pt>
                <c:pt idx="398">
                  <c:v>67.050000000000011</c:v>
                </c:pt>
                <c:pt idx="399">
                  <c:v>67.050000000000011</c:v>
                </c:pt>
                <c:pt idx="400">
                  <c:v>67.050000000000011</c:v>
                </c:pt>
                <c:pt idx="401">
                  <c:v>67.050000000000011</c:v>
                </c:pt>
                <c:pt idx="402">
                  <c:v>67.050000000000011</c:v>
                </c:pt>
                <c:pt idx="403">
                  <c:v>67.050000000000011</c:v>
                </c:pt>
                <c:pt idx="404">
                  <c:v>67.050000000000011</c:v>
                </c:pt>
                <c:pt idx="405">
                  <c:v>67.050000000000011</c:v>
                </c:pt>
                <c:pt idx="406">
                  <c:v>67.050000000000011</c:v>
                </c:pt>
                <c:pt idx="407">
                  <c:v>67.050000000000011</c:v>
                </c:pt>
                <c:pt idx="408">
                  <c:v>67.050000000000011</c:v>
                </c:pt>
                <c:pt idx="409">
                  <c:v>67.050000000000011</c:v>
                </c:pt>
                <c:pt idx="410">
                  <c:v>67.050000000000011</c:v>
                </c:pt>
                <c:pt idx="411">
                  <c:v>67.050000000000011</c:v>
                </c:pt>
                <c:pt idx="412">
                  <c:v>67.050000000000011</c:v>
                </c:pt>
                <c:pt idx="413">
                  <c:v>67.050000000000011</c:v>
                </c:pt>
                <c:pt idx="414">
                  <c:v>67.050000000000011</c:v>
                </c:pt>
                <c:pt idx="415">
                  <c:v>67.050000000000011</c:v>
                </c:pt>
                <c:pt idx="416">
                  <c:v>67.050000000000011</c:v>
                </c:pt>
                <c:pt idx="417">
                  <c:v>67.050000000000011</c:v>
                </c:pt>
                <c:pt idx="418">
                  <c:v>67.050000000000011</c:v>
                </c:pt>
                <c:pt idx="419">
                  <c:v>67.050000000000011</c:v>
                </c:pt>
                <c:pt idx="420">
                  <c:v>67.050000000000011</c:v>
                </c:pt>
                <c:pt idx="421">
                  <c:v>67.050000000000011</c:v>
                </c:pt>
                <c:pt idx="422">
                  <c:v>67.050000000000011</c:v>
                </c:pt>
                <c:pt idx="423">
                  <c:v>67.050000000000011</c:v>
                </c:pt>
                <c:pt idx="424">
                  <c:v>67.050000000000011</c:v>
                </c:pt>
                <c:pt idx="425">
                  <c:v>67.050000000000011</c:v>
                </c:pt>
                <c:pt idx="426">
                  <c:v>67.050000000000011</c:v>
                </c:pt>
                <c:pt idx="427">
                  <c:v>67.050000000000011</c:v>
                </c:pt>
                <c:pt idx="428">
                  <c:v>67.050000000000011</c:v>
                </c:pt>
                <c:pt idx="429">
                  <c:v>67.050000000000011</c:v>
                </c:pt>
                <c:pt idx="430">
                  <c:v>67.050000000000011</c:v>
                </c:pt>
                <c:pt idx="431">
                  <c:v>67.050000000000011</c:v>
                </c:pt>
                <c:pt idx="432">
                  <c:v>67.050000000000011</c:v>
                </c:pt>
                <c:pt idx="433">
                  <c:v>67.050000000000011</c:v>
                </c:pt>
                <c:pt idx="434">
                  <c:v>67.050000000000011</c:v>
                </c:pt>
                <c:pt idx="435">
                  <c:v>67.050000000000011</c:v>
                </c:pt>
                <c:pt idx="436">
                  <c:v>67.050000000000011</c:v>
                </c:pt>
                <c:pt idx="437">
                  <c:v>67.050000000000011</c:v>
                </c:pt>
                <c:pt idx="438">
                  <c:v>67.050000000000011</c:v>
                </c:pt>
                <c:pt idx="439">
                  <c:v>67.050000000000011</c:v>
                </c:pt>
                <c:pt idx="440">
                  <c:v>67.050000000000011</c:v>
                </c:pt>
                <c:pt idx="441">
                  <c:v>67.050000000000011</c:v>
                </c:pt>
                <c:pt idx="442">
                  <c:v>67.050000000000011</c:v>
                </c:pt>
                <c:pt idx="443">
                  <c:v>67.050000000000011</c:v>
                </c:pt>
                <c:pt idx="444">
                  <c:v>67.050000000000011</c:v>
                </c:pt>
                <c:pt idx="445">
                  <c:v>67.050000000000011</c:v>
                </c:pt>
                <c:pt idx="446">
                  <c:v>67.050000000000011</c:v>
                </c:pt>
                <c:pt idx="447">
                  <c:v>67.050000000000011</c:v>
                </c:pt>
                <c:pt idx="448">
                  <c:v>67.050000000000011</c:v>
                </c:pt>
                <c:pt idx="449">
                  <c:v>67.050000000000011</c:v>
                </c:pt>
                <c:pt idx="450">
                  <c:v>67.050000000000011</c:v>
                </c:pt>
                <c:pt idx="451">
                  <c:v>67.050000000000011</c:v>
                </c:pt>
                <c:pt idx="452">
                  <c:v>67.050000000000011</c:v>
                </c:pt>
                <c:pt idx="453">
                  <c:v>67.050000000000011</c:v>
                </c:pt>
                <c:pt idx="454">
                  <c:v>67.050000000000011</c:v>
                </c:pt>
                <c:pt idx="455">
                  <c:v>67.050000000000011</c:v>
                </c:pt>
                <c:pt idx="456">
                  <c:v>67.050000000000011</c:v>
                </c:pt>
                <c:pt idx="457">
                  <c:v>67.050000000000011</c:v>
                </c:pt>
                <c:pt idx="458">
                  <c:v>67.050000000000011</c:v>
                </c:pt>
                <c:pt idx="459">
                  <c:v>67.050000000000011</c:v>
                </c:pt>
                <c:pt idx="460">
                  <c:v>67.050000000000011</c:v>
                </c:pt>
                <c:pt idx="461">
                  <c:v>67.050000000000011</c:v>
                </c:pt>
                <c:pt idx="462">
                  <c:v>67.050000000000011</c:v>
                </c:pt>
                <c:pt idx="463">
                  <c:v>67.050000000000011</c:v>
                </c:pt>
                <c:pt idx="464">
                  <c:v>67.050000000000011</c:v>
                </c:pt>
                <c:pt idx="465">
                  <c:v>67.050000000000011</c:v>
                </c:pt>
                <c:pt idx="466">
                  <c:v>67.050000000000011</c:v>
                </c:pt>
                <c:pt idx="467">
                  <c:v>67.050000000000011</c:v>
                </c:pt>
                <c:pt idx="468">
                  <c:v>67.050000000000011</c:v>
                </c:pt>
                <c:pt idx="469">
                  <c:v>67.050000000000011</c:v>
                </c:pt>
                <c:pt idx="470">
                  <c:v>67.050000000000011</c:v>
                </c:pt>
                <c:pt idx="471">
                  <c:v>67.050000000000011</c:v>
                </c:pt>
                <c:pt idx="472">
                  <c:v>67.050000000000011</c:v>
                </c:pt>
                <c:pt idx="473">
                  <c:v>67.050000000000011</c:v>
                </c:pt>
                <c:pt idx="474">
                  <c:v>67.050000000000011</c:v>
                </c:pt>
                <c:pt idx="475">
                  <c:v>67.050000000000011</c:v>
                </c:pt>
                <c:pt idx="476">
                  <c:v>67.050000000000011</c:v>
                </c:pt>
                <c:pt idx="477">
                  <c:v>67.050000000000011</c:v>
                </c:pt>
                <c:pt idx="478">
                  <c:v>67.050000000000011</c:v>
                </c:pt>
                <c:pt idx="479">
                  <c:v>67.050000000000011</c:v>
                </c:pt>
                <c:pt idx="480">
                  <c:v>67.050000000000011</c:v>
                </c:pt>
                <c:pt idx="481">
                  <c:v>67.050000000000011</c:v>
                </c:pt>
                <c:pt idx="482">
                  <c:v>67.050000000000011</c:v>
                </c:pt>
                <c:pt idx="483">
                  <c:v>67.050000000000011</c:v>
                </c:pt>
                <c:pt idx="484">
                  <c:v>67.050000000000011</c:v>
                </c:pt>
                <c:pt idx="485">
                  <c:v>67.050000000000011</c:v>
                </c:pt>
                <c:pt idx="486">
                  <c:v>67.050000000000011</c:v>
                </c:pt>
                <c:pt idx="487">
                  <c:v>67.050000000000011</c:v>
                </c:pt>
                <c:pt idx="488">
                  <c:v>67.050000000000011</c:v>
                </c:pt>
                <c:pt idx="489">
                  <c:v>67.050000000000011</c:v>
                </c:pt>
                <c:pt idx="490">
                  <c:v>67.050000000000011</c:v>
                </c:pt>
                <c:pt idx="491">
                  <c:v>67.050000000000011</c:v>
                </c:pt>
                <c:pt idx="492">
                  <c:v>67.050000000000011</c:v>
                </c:pt>
                <c:pt idx="493">
                  <c:v>67.050000000000011</c:v>
                </c:pt>
                <c:pt idx="494">
                  <c:v>67.050000000000011</c:v>
                </c:pt>
                <c:pt idx="495">
                  <c:v>67.050000000000011</c:v>
                </c:pt>
                <c:pt idx="496">
                  <c:v>67.050000000000011</c:v>
                </c:pt>
                <c:pt idx="497">
                  <c:v>67.050000000000011</c:v>
                </c:pt>
                <c:pt idx="498">
                  <c:v>67.050000000000011</c:v>
                </c:pt>
                <c:pt idx="499">
                  <c:v>67.050000000000011</c:v>
                </c:pt>
                <c:pt idx="500">
                  <c:v>67.050000000000011</c:v>
                </c:pt>
                <c:pt idx="501">
                  <c:v>67.050000000000011</c:v>
                </c:pt>
                <c:pt idx="502">
                  <c:v>67.050000000000011</c:v>
                </c:pt>
                <c:pt idx="503">
                  <c:v>67.050000000000011</c:v>
                </c:pt>
                <c:pt idx="504">
                  <c:v>67.050000000000011</c:v>
                </c:pt>
                <c:pt idx="505">
                  <c:v>67.050000000000011</c:v>
                </c:pt>
                <c:pt idx="506">
                  <c:v>67.050000000000011</c:v>
                </c:pt>
                <c:pt idx="507">
                  <c:v>67.050000000000011</c:v>
                </c:pt>
                <c:pt idx="508">
                  <c:v>67.050000000000011</c:v>
                </c:pt>
                <c:pt idx="509">
                  <c:v>67.050000000000011</c:v>
                </c:pt>
                <c:pt idx="510">
                  <c:v>67.050000000000011</c:v>
                </c:pt>
                <c:pt idx="511">
                  <c:v>67.050000000000011</c:v>
                </c:pt>
                <c:pt idx="512">
                  <c:v>67.050000000000011</c:v>
                </c:pt>
                <c:pt idx="513">
                  <c:v>67.050000000000011</c:v>
                </c:pt>
                <c:pt idx="514">
                  <c:v>67.050000000000011</c:v>
                </c:pt>
                <c:pt idx="515">
                  <c:v>67.050000000000011</c:v>
                </c:pt>
                <c:pt idx="516">
                  <c:v>67.050000000000011</c:v>
                </c:pt>
                <c:pt idx="517">
                  <c:v>67.050000000000011</c:v>
                </c:pt>
                <c:pt idx="518">
                  <c:v>67.050000000000011</c:v>
                </c:pt>
                <c:pt idx="519">
                  <c:v>67.050000000000011</c:v>
                </c:pt>
                <c:pt idx="520">
                  <c:v>67.050000000000011</c:v>
                </c:pt>
                <c:pt idx="521">
                  <c:v>67.050000000000011</c:v>
                </c:pt>
                <c:pt idx="522">
                  <c:v>67.050000000000011</c:v>
                </c:pt>
                <c:pt idx="523">
                  <c:v>67.050000000000011</c:v>
                </c:pt>
                <c:pt idx="524">
                  <c:v>67.050000000000011</c:v>
                </c:pt>
                <c:pt idx="525">
                  <c:v>67.050000000000011</c:v>
                </c:pt>
                <c:pt idx="526">
                  <c:v>67.050000000000011</c:v>
                </c:pt>
                <c:pt idx="527">
                  <c:v>67.050000000000011</c:v>
                </c:pt>
                <c:pt idx="528">
                  <c:v>67.050000000000011</c:v>
                </c:pt>
                <c:pt idx="529">
                  <c:v>67.050000000000011</c:v>
                </c:pt>
                <c:pt idx="530">
                  <c:v>67.050000000000011</c:v>
                </c:pt>
                <c:pt idx="531">
                  <c:v>67.050000000000011</c:v>
                </c:pt>
                <c:pt idx="532">
                  <c:v>67.050000000000011</c:v>
                </c:pt>
                <c:pt idx="533">
                  <c:v>67.050000000000011</c:v>
                </c:pt>
                <c:pt idx="534">
                  <c:v>67.050000000000011</c:v>
                </c:pt>
                <c:pt idx="535">
                  <c:v>67.050000000000011</c:v>
                </c:pt>
                <c:pt idx="536">
                  <c:v>67.050000000000011</c:v>
                </c:pt>
                <c:pt idx="537">
                  <c:v>67.050000000000011</c:v>
                </c:pt>
                <c:pt idx="538">
                  <c:v>67.050000000000011</c:v>
                </c:pt>
                <c:pt idx="539">
                  <c:v>67.050000000000011</c:v>
                </c:pt>
                <c:pt idx="540">
                  <c:v>67.050000000000011</c:v>
                </c:pt>
                <c:pt idx="541">
                  <c:v>67.050000000000011</c:v>
                </c:pt>
                <c:pt idx="542">
                  <c:v>67.050000000000011</c:v>
                </c:pt>
                <c:pt idx="543">
                  <c:v>67.050000000000011</c:v>
                </c:pt>
                <c:pt idx="544">
                  <c:v>67.050000000000011</c:v>
                </c:pt>
                <c:pt idx="545">
                  <c:v>67.050000000000011</c:v>
                </c:pt>
                <c:pt idx="546">
                  <c:v>67.050000000000011</c:v>
                </c:pt>
                <c:pt idx="547">
                  <c:v>67.050000000000011</c:v>
                </c:pt>
                <c:pt idx="548">
                  <c:v>67.050000000000011</c:v>
                </c:pt>
                <c:pt idx="549">
                  <c:v>67.050000000000011</c:v>
                </c:pt>
                <c:pt idx="550">
                  <c:v>67.050000000000011</c:v>
                </c:pt>
                <c:pt idx="551">
                  <c:v>67.050000000000011</c:v>
                </c:pt>
                <c:pt idx="552">
                  <c:v>67.050000000000011</c:v>
                </c:pt>
                <c:pt idx="553">
                  <c:v>67.050000000000011</c:v>
                </c:pt>
                <c:pt idx="554">
                  <c:v>67.050000000000011</c:v>
                </c:pt>
                <c:pt idx="555">
                  <c:v>67.050000000000011</c:v>
                </c:pt>
                <c:pt idx="556">
                  <c:v>67.050000000000011</c:v>
                </c:pt>
                <c:pt idx="557">
                  <c:v>67.050000000000011</c:v>
                </c:pt>
                <c:pt idx="558">
                  <c:v>67.050000000000011</c:v>
                </c:pt>
                <c:pt idx="559">
                  <c:v>67.050000000000011</c:v>
                </c:pt>
                <c:pt idx="560">
                  <c:v>67.050000000000011</c:v>
                </c:pt>
                <c:pt idx="561">
                  <c:v>67.050000000000011</c:v>
                </c:pt>
                <c:pt idx="562">
                  <c:v>67.050000000000011</c:v>
                </c:pt>
                <c:pt idx="563">
                  <c:v>67.050000000000011</c:v>
                </c:pt>
                <c:pt idx="564">
                  <c:v>67.050000000000011</c:v>
                </c:pt>
                <c:pt idx="565">
                  <c:v>67.050000000000011</c:v>
                </c:pt>
                <c:pt idx="566">
                  <c:v>67.050000000000011</c:v>
                </c:pt>
                <c:pt idx="567">
                  <c:v>67.050000000000011</c:v>
                </c:pt>
                <c:pt idx="568">
                  <c:v>67.050000000000011</c:v>
                </c:pt>
                <c:pt idx="569">
                  <c:v>67.050000000000011</c:v>
                </c:pt>
                <c:pt idx="570">
                  <c:v>67.050000000000011</c:v>
                </c:pt>
                <c:pt idx="571">
                  <c:v>67.050000000000011</c:v>
                </c:pt>
                <c:pt idx="572">
                  <c:v>67.050000000000011</c:v>
                </c:pt>
                <c:pt idx="573">
                  <c:v>67.050000000000011</c:v>
                </c:pt>
                <c:pt idx="574">
                  <c:v>67.050000000000011</c:v>
                </c:pt>
                <c:pt idx="575">
                  <c:v>67.050000000000011</c:v>
                </c:pt>
                <c:pt idx="576">
                  <c:v>67.050000000000011</c:v>
                </c:pt>
                <c:pt idx="577">
                  <c:v>67.050000000000011</c:v>
                </c:pt>
                <c:pt idx="578">
                  <c:v>67.050000000000011</c:v>
                </c:pt>
                <c:pt idx="579">
                  <c:v>67.050000000000011</c:v>
                </c:pt>
                <c:pt idx="580">
                  <c:v>67.050000000000011</c:v>
                </c:pt>
                <c:pt idx="581">
                  <c:v>67.050000000000011</c:v>
                </c:pt>
                <c:pt idx="582">
                  <c:v>67.050000000000011</c:v>
                </c:pt>
                <c:pt idx="583">
                  <c:v>67.050000000000011</c:v>
                </c:pt>
                <c:pt idx="584">
                  <c:v>67.050000000000011</c:v>
                </c:pt>
                <c:pt idx="585">
                  <c:v>67.050000000000011</c:v>
                </c:pt>
                <c:pt idx="586">
                  <c:v>67.050000000000011</c:v>
                </c:pt>
                <c:pt idx="587">
                  <c:v>67.050000000000011</c:v>
                </c:pt>
                <c:pt idx="588">
                  <c:v>67.050000000000011</c:v>
                </c:pt>
                <c:pt idx="589">
                  <c:v>67.050000000000011</c:v>
                </c:pt>
                <c:pt idx="590">
                  <c:v>67.050000000000011</c:v>
                </c:pt>
                <c:pt idx="591">
                  <c:v>67.050000000000011</c:v>
                </c:pt>
                <c:pt idx="592">
                  <c:v>67.050000000000011</c:v>
                </c:pt>
                <c:pt idx="593">
                  <c:v>67.050000000000011</c:v>
                </c:pt>
                <c:pt idx="594">
                  <c:v>67.050000000000011</c:v>
                </c:pt>
                <c:pt idx="595">
                  <c:v>67.050000000000011</c:v>
                </c:pt>
                <c:pt idx="596">
                  <c:v>67.050000000000011</c:v>
                </c:pt>
                <c:pt idx="597">
                  <c:v>67.050000000000011</c:v>
                </c:pt>
                <c:pt idx="598">
                  <c:v>67.050000000000011</c:v>
                </c:pt>
                <c:pt idx="599">
                  <c:v>67.050000000000011</c:v>
                </c:pt>
                <c:pt idx="600">
                  <c:v>67.050000000000011</c:v>
                </c:pt>
                <c:pt idx="601">
                  <c:v>67.050000000000011</c:v>
                </c:pt>
                <c:pt idx="602">
                  <c:v>67.050000000000011</c:v>
                </c:pt>
                <c:pt idx="603">
                  <c:v>67.050000000000011</c:v>
                </c:pt>
                <c:pt idx="604">
                  <c:v>67.050000000000011</c:v>
                </c:pt>
                <c:pt idx="605">
                  <c:v>67.050000000000011</c:v>
                </c:pt>
                <c:pt idx="606">
                  <c:v>67.050000000000011</c:v>
                </c:pt>
                <c:pt idx="607">
                  <c:v>67.050000000000011</c:v>
                </c:pt>
                <c:pt idx="608">
                  <c:v>67.050000000000011</c:v>
                </c:pt>
                <c:pt idx="609">
                  <c:v>67.050000000000011</c:v>
                </c:pt>
                <c:pt idx="610">
                  <c:v>67.050000000000011</c:v>
                </c:pt>
                <c:pt idx="611">
                  <c:v>67.050000000000011</c:v>
                </c:pt>
                <c:pt idx="612">
                  <c:v>67.050000000000011</c:v>
                </c:pt>
                <c:pt idx="613">
                  <c:v>67.050000000000011</c:v>
                </c:pt>
                <c:pt idx="614">
                  <c:v>67.050000000000011</c:v>
                </c:pt>
                <c:pt idx="615">
                  <c:v>67.050000000000011</c:v>
                </c:pt>
                <c:pt idx="616">
                  <c:v>67.050000000000011</c:v>
                </c:pt>
                <c:pt idx="617">
                  <c:v>67.050000000000011</c:v>
                </c:pt>
                <c:pt idx="618">
                  <c:v>67.050000000000011</c:v>
                </c:pt>
                <c:pt idx="619">
                  <c:v>67.050000000000011</c:v>
                </c:pt>
                <c:pt idx="620">
                  <c:v>67.050000000000011</c:v>
                </c:pt>
                <c:pt idx="621">
                  <c:v>67.050000000000011</c:v>
                </c:pt>
                <c:pt idx="622">
                  <c:v>67.050000000000011</c:v>
                </c:pt>
                <c:pt idx="623">
                  <c:v>67.050000000000011</c:v>
                </c:pt>
                <c:pt idx="624">
                  <c:v>67.050000000000011</c:v>
                </c:pt>
                <c:pt idx="625">
                  <c:v>67.050000000000011</c:v>
                </c:pt>
                <c:pt idx="626">
                  <c:v>67.050000000000011</c:v>
                </c:pt>
                <c:pt idx="627">
                  <c:v>67.050000000000011</c:v>
                </c:pt>
                <c:pt idx="628">
                  <c:v>67.050000000000011</c:v>
                </c:pt>
                <c:pt idx="629">
                  <c:v>67.050000000000011</c:v>
                </c:pt>
                <c:pt idx="630">
                  <c:v>67.050000000000011</c:v>
                </c:pt>
                <c:pt idx="631">
                  <c:v>67.050000000000011</c:v>
                </c:pt>
                <c:pt idx="632">
                  <c:v>67.050000000000011</c:v>
                </c:pt>
                <c:pt idx="633">
                  <c:v>67.050000000000011</c:v>
                </c:pt>
                <c:pt idx="634">
                  <c:v>67.050000000000011</c:v>
                </c:pt>
                <c:pt idx="635">
                  <c:v>67.050000000000011</c:v>
                </c:pt>
                <c:pt idx="636">
                  <c:v>67.050000000000011</c:v>
                </c:pt>
                <c:pt idx="637">
                  <c:v>67.050000000000011</c:v>
                </c:pt>
                <c:pt idx="638">
                  <c:v>67.050000000000011</c:v>
                </c:pt>
                <c:pt idx="639">
                  <c:v>67.050000000000011</c:v>
                </c:pt>
                <c:pt idx="640">
                  <c:v>67.050000000000011</c:v>
                </c:pt>
                <c:pt idx="641">
                  <c:v>67.050000000000011</c:v>
                </c:pt>
                <c:pt idx="642">
                  <c:v>67.050000000000011</c:v>
                </c:pt>
                <c:pt idx="643">
                  <c:v>67.050000000000011</c:v>
                </c:pt>
                <c:pt idx="644">
                  <c:v>67.050000000000011</c:v>
                </c:pt>
                <c:pt idx="645">
                  <c:v>67.050000000000011</c:v>
                </c:pt>
                <c:pt idx="646">
                  <c:v>67.050000000000011</c:v>
                </c:pt>
                <c:pt idx="647">
                  <c:v>67.050000000000011</c:v>
                </c:pt>
                <c:pt idx="648">
                  <c:v>67.050000000000011</c:v>
                </c:pt>
                <c:pt idx="649">
                  <c:v>67.050000000000011</c:v>
                </c:pt>
                <c:pt idx="650">
                  <c:v>67.050000000000011</c:v>
                </c:pt>
                <c:pt idx="651">
                  <c:v>67.050000000000011</c:v>
                </c:pt>
                <c:pt idx="652">
                  <c:v>67.050000000000011</c:v>
                </c:pt>
                <c:pt idx="653">
                  <c:v>67.050000000000011</c:v>
                </c:pt>
                <c:pt idx="654">
                  <c:v>67.050000000000011</c:v>
                </c:pt>
                <c:pt idx="655">
                  <c:v>67.050000000000011</c:v>
                </c:pt>
                <c:pt idx="656">
                  <c:v>67.050000000000011</c:v>
                </c:pt>
                <c:pt idx="657">
                  <c:v>67.050000000000011</c:v>
                </c:pt>
                <c:pt idx="658">
                  <c:v>67.050000000000011</c:v>
                </c:pt>
                <c:pt idx="659">
                  <c:v>67.050000000000011</c:v>
                </c:pt>
                <c:pt idx="660">
                  <c:v>67.050000000000011</c:v>
                </c:pt>
                <c:pt idx="661">
                  <c:v>67.050000000000011</c:v>
                </c:pt>
                <c:pt idx="662">
                  <c:v>67.050000000000011</c:v>
                </c:pt>
                <c:pt idx="663">
                  <c:v>67.050000000000011</c:v>
                </c:pt>
                <c:pt idx="664">
                  <c:v>67.050000000000011</c:v>
                </c:pt>
                <c:pt idx="665">
                  <c:v>67.050000000000011</c:v>
                </c:pt>
                <c:pt idx="666">
                  <c:v>67.050000000000011</c:v>
                </c:pt>
                <c:pt idx="667">
                  <c:v>67.050000000000011</c:v>
                </c:pt>
                <c:pt idx="668">
                  <c:v>67.050000000000011</c:v>
                </c:pt>
                <c:pt idx="669">
                  <c:v>67.050000000000011</c:v>
                </c:pt>
                <c:pt idx="670">
                  <c:v>67.050000000000011</c:v>
                </c:pt>
                <c:pt idx="671">
                  <c:v>67.050000000000011</c:v>
                </c:pt>
                <c:pt idx="672">
                  <c:v>67.050000000000011</c:v>
                </c:pt>
                <c:pt idx="673">
                  <c:v>67.050000000000011</c:v>
                </c:pt>
                <c:pt idx="674">
                  <c:v>67.050000000000011</c:v>
                </c:pt>
                <c:pt idx="675">
                  <c:v>67.050000000000011</c:v>
                </c:pt>
                <c:pt idx="676">
                  <c:v>67.050000000000011</c:v>
                </c:pt>
                <c:pt idx="677">
                  <c:v>67.050000000000011</c:v>
                </c:pt>
                <c:pt idx="678">
                  <c:v>67.050000000000011</c:v>
                </c:pt>
                <c:pt idx="679">
                  <c:v>67.050000000000011</c:v>
                </c:pt>
                <c:pt idx="680">
                  <c:v>67.050000000000011</c:v>
                </c:pt>
                <c:pt idx="681">
                  <c:v>67.050000000000011</c:v>
                </c:pt>
                <c:pt idx="682">
                  <c:v>67.050000000000011</c:v>
                </c:pt>
                <c:pt idx="683">
                  <c:v>67.050000000000011</c:v>
                </c:pt>
                <c:pt idx="684">
                  <c:v>67.050000000000011</c:v>
                </c:pt>
                <c:pt idx="685">
                  <c:v>67.050000000000011</c:v>
                </c:pt>
                <c:pt idx="686">
                  <c:v>67.050000000000011</c:v>
                </c:pt>
                <c:pt idx="687">
                  <c:v>67.050000000000011</c:v>
                </c:pt>
                <c:pt idx="688">
                  <c:v>67.050000000000011</c:v>
                </c:pt>
                <c:pt idx="689">
                  <c:v>67.050000000000011</c:v>
                </c:pt>
                <c:pt idx="690">
                  <c:v>67.050000000000011</c:v>
                </c:pt>
                <c:pt idx="691">
                  <c:v>67.050000000000011</c:v>
                </c:pt>
                <c:pt idx="692">
                  <c:v>67.050000000000011</c:v>
                </c:pt>
                <c:pt idx="693">
                  <c:v>67.050000000000011</c:v>
                </c:pt>
                <c:pt idx="694">
                  <c:v>67.050000000000011</c:v>
                </c:pt>
                <c:pt idx="695">
                  <c:v>67.050000000000011</c:v>
                </c:pt>
                <c:pt idx="696">
                  <c:v>67.050000000000011</c:v>
                </c:pt>
                <c:pt idx="697">
                  <c:v>67.050000000000011</c:v>
                </c:pt>
                <c:pt idx="698">
                  <c:v>67.050000000000011</c:v>
                </c:pt>
                <c:pt idx="699">
                  <c:v>67.050000000000011</c:v>
                </c:pt>
                <c:pt idx="700">
                  <c:v>67.050000000000011</c:v>
                </c:pt>
                <c:pt idx="701">
                  <c:v>67.050000000000011</c:v>
                </c:pt>
                <c:pt idx="702">
                  <c:v>67.050000000000011</c:v>
                </c:pt>
                <c:pt idx="703">
                  <c:v>67.050000000000011</c:v>
                </c:pt>
                <c:pt idx="704">
                  <c:v>67.050000000000011</c:v>
                </c:pt>
                <c:pt idx="705">
                  <c:v>67.050000000000011</c:v>
                </c:pt>
                <c:pt idx="706">
                  <c:v>67.050000000000011</c:v>
                </c:pt>
                <c:pt idx="707">
                  <c:v>67.050000000000011</c:v>
                </c:pt>
                <c:pt idx="708">
                  <c:v>67.050000000000011</c:v>
                </c:pt>
                <c:pt idx="709">
                  <c:v>67.050000000000011</c:v>
                </c:pt>
                <c:pt idx="710">
                  <c:v>67.050000000000011</c:v>
                </c:pt>
                <c:pt idx="711">
                  <c:v>67.050000000000011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B-4FEA-9220-871F3AF6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Function!$C$20:$C$731</c:f>
              <c:numCache>
                <c:formatCode>General</c:formatCode>
                <c:ptCount val="712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29.999999999999996</c:v>
                </c:pt>
                <c:pt idx="6">
                  <c:v>36</c:v>
                </c:pt>
                <c:pt idx="7">
                  <c:v>37.25</c:v>
                </c:pt>
                <c:pt idx="8">
                  <c:v>37.25</c:v>
                </c:pt>
                <c:pt idx="9">
                  <c:v>37.25</c:v>
                </c:pt>
                <c:pt idx="10">
                  <c:v>37.25</c:v>
                </c:pt>
                <c:pt idx="11">
                  <c:v>37.25</c:v>
                </c:pt>
                <c:pt idx="12">
                  <c:v>37.25</c:v>
                </c:pt>
                <c:pt idx="13">
                  <c:v>37.25</c:v>
                </c:pt>
                <c:pt idx="14">
                  <c:v>37.25</c:v>
                </c:pt>
                <c:pt idx="15">
                  <c:v>37.25</c:v>
                </c:pt>
                <c:pt idx="16">
                  <c:v>37.25</c:v>
                </c:pt>
                <c:pt idx="17">
                  <c:v>37.25</c:v>
                </c:pt>
                <c:pt idx="18">
                  <c:v>37.25</c:v>
                </c:pt>
                <c:pt idx="19">
                  <c:v>37.25</c:v>
                </c:pt>
                <c:pt idx="20">
                  <c:v>37.25</c:v>
                </c:pt>
                <c:pt idx="21">
                  <c:v>37.25</c:v>
                </c:pt>
                <c:pt idx="22">
                  <c:v>37.25</c:v>
                </c:pt>
                <c:pt idx="23">
                  <c:v>37.25</c:v>
                </c:pt>
                <c:pt idx="24">
                  <c:v>31.25</c:v>
                </c:pt>
                <c:pt idx="25">
                  <c:v>25.25</c:v>
                </c:pt>
                <c:pt idx="26">
                  <c:v>19.25</c:v>
                </c:pt>
                <c:pt idx="27">
                  <c:v>13.250000000000002</c:v>
                </c:pt>
                <c:pt idx="28">
                  <c:v>7.2500000000000018</c:v>
                </c:pt>
                <c:pt idx="29">
                  <c:v>1.2500000000000022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11-4D07-BC8A-844123B63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3.2649999999999997</c:v>
                </c:pt>
                <c:pt idx="9">
                  <c:v>4.01</c:v>
                </c:pt>
                <c:pt idx="10">
                  <c:v>4.7549999999999999</c:v>
                </c:pt>
                <c:pt idx="11">
                  <c:v>5.5</c:v>
                </c:pt>
                <c:pt idx="12">
                  <c:v>6.2450000000000001</c:v>
                </c:pt>
                <c:pt idx="13">
                  <c:v>6.99</c:v>
                </c:pt>
                <c:pt idx="14">
                  <c:v>7.7350000000000003</c:v>
                </c:pt>
                <c:pt idx="15">
                  <c:v>8.48</c:v>
                </c:pt>
                <c:pt idx="16">
                  <c:v>9.2249999999999996</c:v>
                </c:pt>
                <c:pt idx="17">
                  <c:v>9.9699999999999989</c:v>
                </c:pt>
                <c:pt idx="18">
                  <c:v>10.714999999999998</c:v>
                </c:pt>
                <c:pt idx="19">
                  <c:v>11.459999999999997</c:v>
                </c:pt>
                <c:pt idx="20">
                  <c:v>12.204999999999997</c:v>
                </c:pt>
                <c:pt idx="21">
                  <c:v>12.949999999999996</c:v>
                </c:pt>
                <c:pt idx="22">
                  <c:v>13.694999999999995</c:v>
                </c:pt>
                <c:pt idx="23">
                  <c:v>14.439999999999994</c:v>
                </c:pt>
                <c:pt idx="24">
                  <c:v>15.184999999999993</c:v>
                </c:pt>
                <c:pt idx="25">
                  <c:v>15.809999999999993</c:v>
                </c:pt>
                <c:pt idx="26">
                  <c:v>16.314999999999994</c:v>
                </c:pt>
                <c:pt idx="27">
                  <c:v>16.699999999999996</c:v>
                </c:pt>
                <c:pt idx="28">
                  <c:v>16.964999999999996</c:v>
                </c:pt>
                <c:pt idx="29">
                  <c:v>17.109999999999996</c:v>
                </c:pt>
                <c:pt idx="30">
                  <c:v>17.134999999999994</c:v>
                </c:pt>
                <c:pt idx="31">
                  <c:v>17.134999999999994</c:v>
                </c:pt>
                <c:pt idx="32">
                  <c:v>17.134999999999994</c:v>
                </c:pt>
                <c:pt idx="33">
                  <c:v>17.134999999999994</c:v>
                </c:pt>
                <c:pt idx="34">
                  <c:v>17.134999999999994</c:v>
                </c:pt>
                <c:pt idx="35">
                  <c:v>17.134999999999994</c:v>
                </c:pt>
                <c:pt idx="36">
                  <c:v>17.134999999999994</c:v>
                </c:pt>
                <c:pt idx="37">
                  <c:v>17.134999999999994</c:v>
                </c:pt>
                <c:pt idx="38">
                  <c:v>17.134999999999994</c:v>
                </c:pt>
                <c:pt idx="39">
                  <c:v>17.134999999999994</c:v>
                </c:pt>
                <c:pt idx="40">
                  <c:v>17.134999999999994</c:v>
                </c:pt>
                <c:pt idx="41">
                  <c:v>17.134999999999994</c:v>
                </c:pt>
                <c:pt idx="42">
                  <c:v>17.134999999999994</c:v>
                </c:pt>
                <c:pt idx="43">
                  <c:v>17.134999999999994</c:v>
                </c:pt>
                <c:pt idx="44">
                  <c:v>17.134999999999994</c:v>
                </c:pt>
                <c:pt idx="45">
                  <c:v>17.134999999999994</c:v>
                </c:pt>
                <c:pt idx="46">
                  <c:v>17.134999999999994</c:v>
                </c:pt>
                <c:pt idx="47">
                  <c:v>17.134999999999994</c:v>
                </c:pt>
                <c:pt idx="48">
                  <c:v>17.134999999999994</c:v>
                </c:pt>
                <c:pt idx="49">
                  <c:v>17.134999999999994</c:v>
                </c:pt>
                <c:pt idx="50">
                  <c:v>17.134999999999994</c:v>
                </c:pt>
                <c:pt idx="51">
                  <c:v>17.134999999999994</c:v>
                </c:pt>
                <c:pt idx="52">
                  <c:v>17.134999999999994</c:v>
                </c:pt>
                <c:pt idx="53">
                  <c:v>17.134999999999994</c:v>
                </c:pt>
                <c:pt idx="54">
                  <c:v>17.134999999999994</c:v>
                </c:pt>
                <c:pt idx="55">
                  <c:v>17.134999999999994</c:v>
                </c:pt>
                <c:pt idx="56">
                  <c:v>17.134999999999994</c:v>
                </c:pt>
                <c:pt idx="57">
                  <c:v>17.134999999999994</c:v>
                </c:pt>
                <c:pt idx="58">
                  <c:v>17.134999999999994</c:v>
                </c:pt>
                <c:pt idx="59">
                  <c:v>17.134999999999994</c:v>
                </c:pt>
                <c:pt idx="60">
                  <c:v>17.134999999999994</c:v>
                </c:pt>
                <c:pt idx="61">
                  <c:v>17.134999999999994</c:v>
                </c:pt>
                <c:pt idx="62">
                  <c:v>17.134999999999994</c:v>
                </c:pt>
                <c:pt idx="63">
                  <c:v>17.134999999999994</c:v>
                </c:pt>
                <c:pt idx="64">
                  <c:v>17.134999999999994</c:v>
                </c:pt>
                <c:pt idx="65">
                  <c:v>17.134999999999994</c:v>
                </c:pt>
                <c:pt idx="66">
                  <c:v>17.134999999999994</c:v>
                </c:pt>
                <c:pt idx="67">
                  <c:v>17.134999999999994</c:v>
                </c:pt>
                <c:pt idx="68">
                  <c:v>17.134999999999994</c:v>
                </c:pt>
                <c:pt idx="69">
                  <c:v>17.134999999999994</c:v>
                </c:pt>
                <c:pt idx="70">
                  <c:v>17.134999999999994</c:v>
                </c:pt>
                <c:pt idx="71">
                  <c:v>17.134999999999994</c:v>
                </c:pt>
                <c:pt idx="72">
                  <c:v>17.134999999999994</c:v>
                </c:pt>
                <c:pt idx="73">
                  <c:v>17.134999999999994</c:v>
                </c:pt>
                <c:pt idx="74">
                  <c:v>17.134999999999994</c:v>
                </c:pt>
                <c:pt idx="75">
                  <c:v>17.134999999999994</c:v>
                </c:pt>
                <c:pt idx="76">
                  <c:v>17.134999999999994</c:v>
                </c:pt>
                <c:pt idx="77">
                  <c:v>17.134999999999994</c:v>
                </c:pt>
                <c:pt idx="78">
                  <c:v>17.134999999999994</c:v>
                </c:pt>
                <c:pt idx="79">
                  <c:v>17.134999999999994</c:v>
                </c:pt>
                <c:pt idx="80">
                  <c:v>17.134999999999994</c:v>
                </c:pt>
                <c:pt idx="81">
                  <c:v>17.134999999999994</c:v>
                </c:pt>
                <c:pt idx="82">
                  <c:v>17.134999999999994</c:v>
                </c:pt>
                <c:pt idx="83">
                  <c:v>17.134999999999994</c:v>
                </c:pt>
                <c:pt idx="84">
                  <c:v>17.134999999999994</c:v>
                </c:pt>
                <c:pt idx="85">
                  <c:v>17.134999999999994</c:v>
                </c:pt>
                <c:pt idx="86">
                  <c:v>17.134999999999994</c:v>
                </c:pt>
                <c:pt idx="87">
                  <c:v>17.134999999999994</c:v>
                </c:pt>
                <c:pt idx="88">
                  <c:v>17.134999999999994</c:v>
                </c:pt>
                <c:pt idx="89">
                  <c:v>17.134999999999994</c:v>
                </c:pt>
                <c:pt idx="90">
                  <c:v>17.134999999999994</c:v>
                </c:pt>
                <c:pt idx="91">
                  <c:v>17.134999999999994</c:v>
                </c:pt>
                <c:pt idx="92">
                  <c:v>17.134999999999994</c:v>
                </c:pt>
                <c:pt idx="93">
                  <c:v>17.134999999999994</c:v>
                </c:pt>
                <c:pt idx="94">
                  <c:v>17.134999999999994</c:v>
                </c:pt>
                <c:pt idx="95">
                  <c:v>17.134999999999994</c:v>
                </c:pt>
                <c:pt idx="96">
                  <c:v>17.134999999999994</c:v>
                </c:pt>
                <c:pt idx="97">
                  <c:v>17.134999999999994</c:v>
                </c:pt>
                <c:pt idx="98">
                  <c:v>17.134999999999994</c:v>
                </c:pt>
                <c:pt idx="99">
                  <c:v>17.134999999999994</c:v>
                </c:pt>
                <c:pt idx="100">
                  <c:v>17.134999999999994</c:v>
                </c:pt>
                <c:pt idx="101">
                  <c:v>17.134999999999994</c:v>
                </c:pt>
                <c:pt idx="102">
                  <c:v>17.134999999999994</c:v>
                </c:pt>
                <c:pt idx="103">
                  <c:v>17.134999999999994</c:v>
                </c:pt>
                <c:pt idx="104">
                  <c:v>17.134999999999994</c:v>
                </c:pt>
                <c:pt idx="105">
                  <c:v>17.134999999999994</c:v>
                </c:pt>
                <c:pt idx="106">
                  <c:v>17.134999999999994</c:v>
                </c:pt>
                <c:pt idx="107">
                  <c:v>17.134999999999994</c:v>
                </c:pt>
                <c:pt idx="108">
                  <c:v>17.134999999999994</c:v>
                </c:pt>
                <c:pt idx="109">
                  <c:v>17.134999999999994</c:v>
                </c:pt>
                <c:pt idx="110">
                  <c:v>17.134999999999994</c:v>
                </c:pt>
                <c:pt idx="111">
                  <c:v>17.134999999999994</c:v>
                </c:pt>
                <c:pt idx="112">
                  <c:v>17.134999999999994</c:v>
                </c:pt>
                <c:pt idx="113">
                  <c:v>17.134999999999994</c:v>
                </c:pt>
                <c:pt idx="114">
                  <c:v>17.134999999999994</c:v>
                </c:pt>
                <c:pt idx="115">
                  <c:v>17.134999999999994</c:v>
                </c:pt>
                <c:pt idx="116">
                  <c:v>17.134999999999994</c:v>
                </c:pt>
                <c:pt idx="117">
                  <c:v>17.134999999999994</c:v>
                </c:pt>
                <c:pt idx="118">
                  <c:v>17.134999999999994</c:v>
                </c:pt>
                <c:pt idx="119">
                  <c:v>17.134999999999994</c:v>
                </c:pt>
                <c:pt idx="120">
                  <c:v>17.134999999999994</c:v>
                </c:pt>
                <c:pt idx="121">
                  <c:v>17.134999999999994</c:v>
                </c:pt>
                <c:pt idx="122">
                  <c:v>17.134999999999994</c:v>
                </c:pt>
                <c:pt idx="123">
                  <c:v>17.134999999999994</c:v>
                </c:pt>
                <c:pt idx="124">
                  <c:v>17.134999999999994</c:v>
                </c:pt>
                <c:pt idx="125">
                  <c:v>17.134999999999994</c:v>
                </c:pt>
                <c:pt idx="126">
                  <c:v>17.134999999999994</c:v>
                </c:pt>
                <c:pt idx="127">
                  <c:v>17.134999999999994</c:v>
                </c:pt>
                <c:pt idx="128">
                  <c:v>17.134999999999994</c:v>
                </c:pt>
                <c:pt idx="129">
                  <c:v>17.134999999999994</c:v>
                </c:pt>
                <c:pt idx="130">
                  <c:v>17.134999999999994</c:v>
                </c:pt>
                <c:pt idx="131">
                  <c:v>17.134999999999994</c:v>
                </c:pt>
                <c:pt idx="132">
                  <c:v>17.134999999999994</c:v>
                </c:pt>
                <c:pt idx="133">
                  <c:v>17.134999999999994</c:v>
                </c:pt>
                <c:pt idx="134">
                  <c:v>17.134999999999994</c:v>
                </c:pt>
                <c:pt idx="135">
                  <c:v>17.134999999999994</c:v>
                </c:pt>
                <c:pt idx="136">
                  <c:v>17.134999999999994</c:v>
                </c:pt>
                <c:pt idx="137">
                  <c:v>17.134999999999994</c:v>
                </c:pt>
                <c:pt idx="138">
                  <c:v>17.134999999999994</c:v>
                </c:pt>
                <c:pt idx="139">
                  <c:v>17.134999999999994</c:v>
                </c:pt>
                <c:pt idx="140">
                  <c:v>17.134999999999994</c:v>
                </c:pt>
                <c:pt idx="141">
                  <c:v>17.134999999999994</c:v>
                </c:pt>
                <c:pt idx="142">
                  <c:v>17.134999999999994</c:v>
                </c:pt>
                <c:pt idx="143">
                  <c:v>17.134999999999994</c:v>
                </c:pt>
                <c:pt idx="144">
                  <c:v>17.134999999999994</c:v>
                </c:pt>
                <c:pt idx="145">
                  <c:v>17.134999999999994</c:v>
                </c:pt>
                <c:pt idx="146">
                  <c:v>17.134999999999994</c:v>
                </c:pt>
                <c:pt idx="147">
                  <c:v>17.134999999999994</c:v>
                </c:pt>
                <c:pt idx="148">
                  <c:v>17.134999999999994</c:v>
                </c:pt>
                <c:pt idx="149">
                  <c:v>17.134999999999994</c:v>
                </c:pt>
                <c:pt idx="150">
                  <c:v>17.134999999999994</c:v>
                </c:pt>
                <c:pt idx="151">
                  <c:v>17.134999999999994</c:v>
                </c:pt>
                <c:pt idx="152">
                  <c:v>17.134999999999994</c:v>
                </c:pt>
                <c:pt idx="153">
                  <c:v>17.134999999999994</c:v>
                </c:pt>
                <c:pt idx="154">
                  <c:v>17.134999999999994</c:v>
                </c:pt>
                <c:pt idx="155">
                  <c:v>17.134999999999994</c:v>
                </c:pt>
                <c:pt idx="156">
                  <c:v>17.134999999999994</c:v>
                </c:pt>
                <c:pt idx="157">
                  <c:v>17.134999999999994</c:v>
                </c:pt>
                <c:pt idx="158">
                  <c:v>17.134999999999994</c:v>
                </c:pt>
                <c:pt idx="159">
                  <c:v>17.134999999999994</c:v>
                </c:pt>
                <c:pt idx="160">
                  <c:v>17.134999999999994</c:v>
                </c:pt>
                <c:pt idx="161">
                  <c:v>17.134999999999994</c:v>
                </c:pt>
                <c:pt idx="162">
                  <c:v>17.134999999999994</c:v>
                </c:pt>
                <c:pt idx="163">
                  <c:v>17.134999999999994</c:v>
                </c:pt>
                <c:pt idx="164">
                  <c:v>17.134999999999994</c:v>
                </c:pt>
                <c:pt idx="165">
                  <c:v>17.134999999999994</c:v>
                </c:pt>
                <c:pt idx="166">
                  <c:v>17.134999999999994</c:v>
                </c:pt>
                <c:pt idx="167">
                  <c:v>17.134999999999994</c:v>
                </c:pt>
                <c:pt idx="168">
                  <c:v>17.134999999999994</c:v>
                </c:pt>
                <c:pt idx="169">
                  <c:v>17.134999999999994</c:v>
                </c:pt>
                <c:pt idx="170">
                  <c:v>17.134999999999994</c:v>
                </c:pt>
                <c:pt idx="171">
                  <c:v>17.134999999999994</c:v>
                </c:pt>
                <c:pt idx="172">
                  <c:v>17.134999999999994</c:v>
                </c:pt>
                <c:pt idx="173">
                  <c:v>17.134999999999994</c:v>
                </c:pt>
                <c:pt idx="174">
                  <c:v>17.134999999999994</c:v>
                </c:pt>
                <c:pt idx="175">
                  <c:v>17.134999999999994</c:v>
                </c:pt>
                <c:pt idx="176">
                  <c:v>17.134999999999994</c:v>
                </c:pt>
                <c:pt idx="177">
                  <c:v>17.134999999999994</c:v>
                </c:pt>
                <c:pt idx="178">
                  <c:v>17.134999999999994</c:v>
                </c:pt>
                <c:pt idx="179">
                  <c:v>17.134999999999994</c:v>
                </c:pt>
                <c:pt idx="180">
                  <c:v>17.134999999999994</c:v>
                </c:pt>
                <c:pt idx="181">
                  <c:v>17.134999999999994</c:v>
                </c:pt>
                <c:pt idx="182">
                  <c:v>17.134999999999994</c:v>
                </c:pt>
                <c:pt idx="183">
                  <c:v>17.134999999999994</c:v>
                </c:pt>
                <c:pt idx="184">
                  <c:v>17.134999999999994</c:v>
                </c:pt>
                <c:pt idx="185">
                  <c:v>17.134999999999994</c:v>
                </c:pt>
                <c:pt idx="186">
                  <c:v>17.134999999999994</c:v>
                </c:pt>
                <c:pt idx="187">
                  <c:v>17.134999999999994</c:v>
                </c:pt>
                <c:pt idx="188">
                  <c:v>17.134999999999994</c:v>
                </c:pt>
                <c:pt idx="189">
                  <c:v>17.134999999999994</c:v>
                </c:pt>
                <c:pt idx="190">
                  <c:v>17.134999999999994</c:v>
                </c:pt>
                <c:pt idx="191">
                  <c:v>17.134999999999994</c:v>
                </c:pt>
                <c:pt idx="192">
                  <c:v>17.134999999999994</c:v>
                </c:pt>
                <c:pt idx="193">
                  <c:v>17.134999999999994</c:v>
                </c:pt>
                <c:pt idx="194">
                  <c:v>17.134999999999994</c:v>
                </c:pt>
                <c:pt idx="195">
                  <c:v>17.134999999999994</c:v>
                </c:pt>
                <c:pt idx="196">
                  <c:v>17.134999999999994</c:v>
                </c:pt>
                <c:pt idx="197">
                  <c:v>17.134999999999994</c:v>
                </c:pt>
                <c:pt idx="198">
                  <c:v>17.134999999999994</c:v>
                </c:pt>
                <c:pt idx="199">
                  <c:v>17.134999999999994</c:v>
                </c:pt>
                <c:pt idx="200">
                  <c:v>17.134999999999994</c:v>
                </c:pt>
                <c:pt idx="201">
                  <c:v>17.134999999999994</c:v>
                </c:pt>
                <c:pt idx="202">
                  <c:v>17.134999999999994</c:v>
                </c:pt>
                <c:pt idx="203">
                  <c:v>17.134999999999994</c:v>
                </c:pt>
                <c:pt idx="204">
                  <c:v>17.134999999999994</c:v>
                </c:pt>
                <c:pt idx="205">
                  <c:v>17.134999999999994</c:v>
                </c:pt>
                <c:pt idx="206">
                  <c:v>17.134999999999994</c:v>
                </c:pt>
                <c:pt idx="207">
                  <c:v>17.134999999999994</c:v>
                </c:pt>
                <c:pt idx="208">
                  <c:v>17.134999999999994</c:v>
                </c:pt>
                <c:pt idx="209">
                  <c:v>17.134999999999994</c:v>
                </c:pt>
                <c:pt idx="210">
                  <c:v>17.134999999999994</c:v>
                </c:pt>
                <c:pt idx="211">
                  <c:v>17.134999999999994</c:v>
                </c:pt>
                <c:pt idx="212">
                  <c:v>17.134999999999994</c:v>
                </c:pt>
                <c:pt idx="213">
                  <c:v>17.134999999999994</c:v>
                </c:pt>
                <c:pt idx="214">
                  <c:v>17.134999999999994</c:v>
                </c:pt>
                <c:pt idx="215">
                  <c:v>17.134999999999994</c:v>
                </c:pt>
                <c:pt idx="216">
                  <c:v>17.134999999999994</c:v>
                </c:pt>
                <c:pt idx="217">
                  <c:v>17.134999999999994</c:v>
                </c:pt>
                <c:pt idx="218">
                  <c:v>17.134999999999994</c:v>
                </c:pt>
                <c:pt idx="219">
                  <c:v>17.134999999999994</c:v>
                </c:pt>
                <c:pt idx="220">
                  <c:v>17.134999999999994</c:v>
                </c:pt>
                <c:pt idx="221">
                  <c:v>17.134999999999994</c:v>
                </c:pt>
                <c:pt idx="222">
                  <c:v>17.134999999999994</c:v>
                </c:pt>
                <c:pt idx="223">
                  <c:v>17.134999999999994</c:v>
                </c:pt>
                <c:pt idx="224">
                  <c:v>17.134999999999994</c:v>
                </c:pt>
                <c:pt idx="225">
                  <c:v>17.134999999999994</c:v>
                </c:pt>
                <c:pt idx="226">
                  <c:v>17.134999999999994</c:v>
                </c:pt>
                <c:pt idx="227">
                  <c:v>17.134999999999994</c:v>
                </c:pt>
                <c:pt idx="228">
                  <c:v>17.134999999999994</c:v>
                </c:pt>
                <c:pt idx="229">
                  <c:v>17.134999999999994</c:v>
                </c:pt>
                <c:pt idx="230">
                  <c:v>17.134999999999994</c:v>
                </c:pt>
                <c:pt idx="231">
                  <c:v>17.134999999999994</c:v>
                </c:pt>
                <c:pt idx="232">
                  <c:v>17.134999999999994</c:v>
                </c:pt>
                <c:pt idx="233">
                  <c:v>17.134999999999994</c:v>
                </c:pt>
                <c:pt idx="234">
                  <c:v>17.134999999999994</c:v>
                </c:pt>
                <c:pt idx="235">
                  <c:v>17.134999999999994</c:v>
                </c:pt>
                <c:pt idx="236">
                  <c:v>17.134999999999994</c:v>
                </c:pt>
                <c:pt idx="237">
                  <c:v>17.134999999999994</c:v>
                </c:pt>
                <c:pt idx="238">
                  <c:v>17.134999999999994</c:v>
                </c:pt>
                <c:pt idx="239">
                  <c:v>17.134999999999994</c:v>
                </c:pt>
                <c:pt idx="240">
                  <c:v>17.134999999999994</c:v>
                </c:pt>
                <c:pt idx="241">
                  <c:v>17.134999999999994</c:v>
                </c:pt>
                <c:pt idx="242">
                  <c:v>17.134999999999994</c:v>
                </c:pt>
                <c:pt idx="243">
                  <c:v>17.134999999999994</c:v>
                </c:pt>
                <c:pt idx="244">
                  <c:v>17.134999999999994</c:v>
                </c:pt>
                <c:pt idx="245">
                  <c:v>17.134999999999994</c:v>
                </c:pt>
                <c:pt idx="246">
                  <c:v>17.134999999999994</c:v>
                </c:pt>
                <c:pt idx="247">
                  <c:v>17.134999999999994</c:v>
                </c:pt>
                <c:pt idx="248">
                  <c:v>17.134999999999994</c:v>
                </c:pt>
                <c:pt idx="249">
                  <c:v>17.134999999999994</c:v>
                </c:pt>
                <c:pt idx="250">
                  <c:v>17.134999999999994</c:v>
                </c:pt>
                <c:pt idx="251">
                  <c:v>17.134999999999994</c:v>
                </c:pt>
                <c:pt idx="252">
                  <c:v>17.134999999999994</c:v>
                </c:pt>
                <c:pt idx="253">
                  <c:v>17.134999999999994</c:v>
                </c:pt>
                <c:pt idx="254">
                  <c:v>17.134999999999994</c:v>
                </c:pt>
                <c:pt idx="255">
                  <c:v>17.134999999999994</c:v>
                </c:pt>
                <c:pt idx="256">
                  <c:v>17.134999999999994</c:v>
                </c:pt>
                <c:pt idx="257">
                  <c:v>17.134999999999994</c:v>
                </c:pt>
                <c:pt idx="258">
                  <c:v>17.134999999999994</c:v>
                </c:pt>
                <c:pt idx="259">
                  <c:v>17.134999999999994</c:v>
                </c:pt>
                <c:pt idx="260">
                  <c:v>17.134999999999994</c:v>
                </c:pt>
                <c:pt idx="261">
                  <c:v>17.134999999999994</c:v>
                </c:pt>
                <c:pt idx="262">
                  <c:v>17.134999999999994</c:v>
                </c:pt>
                <c:pt idx="263">
                  <c:v>17.134999999999994</c:v>
                </c:pt>
                <c:pt idx="264">
                  <c:v>17.134999999999994</c:v>
                </c:pt>
                <c:pt idx="265">
                  <c:v>17.134999999999994</c:v>
                </c:pt>
                <c:pt idx="266">
                  <c:v>17.134999999999994</c:v>
                </c:pt>
                <c:pt idx="267">
                  <c:v>17.134999999999994</c:v>
                </c:pt>
                <c:pt idx="268">
                  <c:v>17.134999999999994</c:v>
                </c:pt>
                <c:pt idx="269">
                  <c:v>17.134999999999994</c:v>
                </c:pt>
                <c:pt idx="270">
                  <c:v>17.134999999999994</c:v>
                </c:pt>
                <c:pt idx="271">
                  <c:v>17.134999999999994</c:v>
                </c:pt>
                <c:pt idx="272">
                  <c:v>17.134999999999994</c:v>
                </c:pt>
                <c:pt idx="273">
                  <c:v>17.134999999999994</c:v>
                </c:pt>
                <c:pt idx="274">
                  <c:v>17.134999999999994</c:v>
                </c:pt>
                <c:pt idx="275">
                  <c:v>17.134999999999994</c:v>
                </c:pt>
                <c:pt idx="276">
                  <c:v>17.134999999999994</c:v>
                </c:pt>
                <c:pt idx="277">
                  <c:v>17.134999999999994</c:v>
                </c:pt>
                <c:pt idx="278">
                  <c:v>17.134999999999994</c:v>
                </c:pt>
                <c:pt idx="279">
                  <c:v>17.134999999999994</c:v>
                </c:pt>
                <c:pt idx="280">
                  <c:v>17.134999999999994</c:v>
                </c:pt>
                <c:pt idx="281">
                  <c:v>17.134999999999994</c:v>
                </c:pt>
                <c:pt idx="282">
                  <c:v>17.134999999999994</c:v>
                </c:pt>
                <c:pt idx="283">
                  <c:v>17.134999999999994</c:v>
                </c:pt>
                <c:pt idx="284">
                  <c:v>17.134999999999994</c:v>
                </c:pt>
                <c:pt idx="285">
                  <c:v>17.134999999999994</c:v>
                </c:pt>
                <c:pt idx="286">
                  <c:v>17.134999999999994</c:v>
                </c:pt>
                <c:pt idx="287">
                  <c:v>17.134999999999994</c:v>
                </c:pt>
                <c:pt idx="288">
                  <c:v>17.134999999999994</c:v>
                </c:pt>
                <c:pt idx="289">
                  <c:v>17.134999999999994</c:v>
                </c:pt>
                <c:pt idx="290">
                  <c:v>17.134999999999994</c:v>
                </c:pt>
                <c:pt idx="291">
                  <c:v>17.134999999999994</c:v>
                </c:pt>
                <c:pt idx="292">
                  <c:v>17.134999999999994</c:v>
                </c:pt>
                <c:pt idx="293">
                  <c:v>17.134999999999994</c:v>
                </c:pt>
                <c:pt idx="294">
                  <c:v>17.134999999999994</c:v>
                </c:pt>
                <c:pt idx="295">
                  <c:v>17.134999999999994</c:v>
                </c:pt>
                <c:pt idx="296">
                  <c:v>17.134999999999994</c:v>
                </c:pt>
                <c:pt idx="297">
                  <c:v>17.134999999999994</c:v>
                </c:pt>
                <c:pt idx="298">
                  <c:v>17.134999999999994</c:v>
                </c:pt>
                <c:pt idx="299">
                  <c:v>17.134999999999994</c:v>
                </c:pt>
                <c:pt idx="300">
                  <c:v>17.134999999999994</c:v>
                </c:pt>
                <c:pt idx="301">
                  <c:v>17.134999999999994</c:v>
                </c:pt>
                <c:pt idx="302">
                  <c:v>17.134999999999994</c:v>
                </c:pt>
                <c:pt idx="303">
                  <c:v>17.134999999999994</c:v>
                </c:pt>
                <c:pt idx="304">
                  <c:v>17.134999999999994</c:v>
                </c:pt>
                <c:pt idx="305">
                  <c:v>17.134999999999994</c:v>
                </c:pt>
                <c:pt idx="306">
                  <c:v>17.134999999999994</c:v>
                </c:pt>
                <c:pt idx="307">
                  <c:v>17.134999999999994</c:v>
                </c:pt>
                <c:pt idx="308">
                  <c:v>17.134999999999994</c:v>
                </c:pt>
                <c:pt idx="309">
                  <c:v>17.134999999999994</c:v>
                </c:pt>
                <c:pt idx="310">
                  <c:v>17.134999999999994</c:v>
                </c:pt>
                <c:pt idx="311">
                  <c:v>17.134999999999994</c:v>
                </c:pt>
                <c:pt idx="312">
                  <c:v>17.134999999999994</c:v>
                </c:pt>
                <c:pt idx="313">
                  <c:v>17.134999999999994</c:v>
                </c:pt>
                <c:pt idx="314">
                  <c:v>17.134999999999994</c:v>
                </c:pt>
                <c:pt idx="315">
                  <c:v>17.134999999999994</c:v>
                </c:pt>
                <c:pt idx="316">
                  <c:v>17.134999999999994</c:v>
                </c:pt>
                <c:pt idx="317">
                  <c:v>17.134999999999994</c:v>
                </c:pt>
                <c:pt idx="318">
                  <c:v>17.134999999999994</c:v>
                </c:pt>
                <c:pt idx="319">
                  <c:v>17.134999999999994</c:v>
                </c:pt>
                <c:pt idx="320">
                  <c:v>17.134999999999994</c:v>
                </c:pt>
                <c:pt idx="321">
                  <c:v>17.134999999999994</c:v>
                </c:pt>
                <c:pt idx="322">
                  <c:v>17.134999999999994</c:v>
                </c:pt>
                <c:pt idx="323">
                  <c:v>17.134999999999994</c:v>
                </c:pt>
                <c:pt idx="324">
                  <c:v>17.134999999999994</c:v>
                </c:pt>
                <c:pt idx="325">
                  <c:v>17.134999999999994</c:v>
                </c:pt>
                <c:pt idx="326">
                  <c:v>17.134999999999994</c:v>
                </c:pt>
                <c:pt idx="327">
                  <c:v>17.134999999999994</c:v>
                </c:pt>
                <c:pt idx="328">
                  <c:v>17.134999999999994</c:v>
                </c:pt>
                <c:pt idx="329">
                  <c:v>17.134999999999994</c:v>
                </c:pt>
                <c:pt idx="330">
                  <c:v>17.134999999999994</c:v>
                </c:pt>
                <c:pt idx="331">
                  <c:v>17.134999999999994</c:v>
                </c:pt>
                <c:pt idx="332">
                  <c:v>17.134999999999994</c:v>
                </c:pt>
                <c:pt idx="333">
                  <c:v>17.134999999999994</c:v>
                </c:pt>
                <c:pt idx="334">
                  <c:v>17.134999999999994</c:v>
                </c:pt>
                <c:pt idx="335">
                  <c:v>17.134999999999994</c:v>
                </c:pt>
                <c:pt idx="336">
                  <c:v>17.134999999999994</c:v>
                </c:pt>
                <c:pt idx="337">
                  <c:v>17.134999999999994</c:v>
                </c:pt>
                <c:pt idx="338">
                  <c:v>17.134999999999994</c:v>
                </c:pt>
                <c:pt idx="339">
                  <c:v>17.134999999999994</c:v>
                </c:pt>
                <c:pt idx="340">
                  <c:v>17.134999999999994</c:v>
                </c:pt>
                <c:pt idx="341">
                  <c:v>17.134999999999994</c:v>
                </c:pt>
                <c:pt idx="342">
                  <c:v>17.134999999999994</c:v>
                </c:pt>
                <c:pt idx="343">
                  <c:v>17.134999999999994</c:v>
                </c:pt>
                <c:pt idx="344">
                  <c:v>17.134999999999994</c:v>
                </c:pt>
                <c:pt idx="345">
                  <c:v>17.134999999999994</c:v>
                </c:pt>
                <c:pt idx="346">
                  <c:v>17.134999999999994</c:v>
                </c:pt>
                <c:pt idx="347">
                  <c:v>17.134999999999994</c:v>
                </c:pt>
                <c:pt idx="348">
                  <c:v>17.134999999999994</c:v>
                </c:pt>
                <c:pt idx="349">
                  <c:v>17.134999999999994</c:v>
                </c:pt>
                <c:pt idx="350">
                  <c:v>17.134999999999994</c:v>
                </c:pt>
                <c:pt idx="351">
                  <c:v>17.134999999999994</c:v>
                </c:pt>
                <c:pt idx="352">
                  <c:v>17.134999999999994</c:v>
                </c:pt>
                <c:pt idx="353">
                  <c:v>17.134999999999994</c:v>
                </c:pt>
                <c:pt idx="354">
                  <c:v>17.134999999999994</c:v>
                </c:pt>
                <c:pt idx="355">
                  <c:v>17.134999999999994</c:v>
                </c:pt>
                <c:pt idx="356">
                  <c:v>17.134999999999994</c:v>
                </c:pt>
                <c:pt idx="357">
                  <c:v>17.134999999999994</c:v>
                </c:pt>
                <c:pt idx="358">
                  <c:v>17.134999999999994</c:v>
                </c:pt>
                <c:pt idx="359">
                  <c:v>17.134999999999994</c:v>
                </c:pt>
                <c:pt idx="360">
                  <c:v>17.134999999999994</c:v>
                </c:pt>
                <c:pt idx="361">
                  <c:v>17.134999999999994</c:v>
                </c:pt>
                <c:pt idx="362">
                  <c:v>17.134999999999994</c:v>
                </c:pt>
                <c:pt idx="363">
                  <c:v>17.134999999999994</c:v>
                </c:pt>
                <c:pt idx="364">
                  <c:v>17.134999999999994</c:v>
                </c:pt>
                <c:pt idx="365">
                  <c:v>17.134999999999994</c:v>
                </c:pt>
                <c:pt idx="366">
                  <c:v>17.134999999999994</c:v>
                </c:pt>
                <c:pt idx="367">
                  <c:v>17.134999999999994</c:v>
                </c:pt>
                <c:pt idx="368">
                  <c:v>17.134999999999994</c:v>
                </c:pt>
                <c:pt idx="369">
                  <c:v>17.134999999999994</c:v>
                </c:pt>
                <c:pt idx="370">
                  <c:v>17.134999999999994</c:v>
                </c:pt>
                <c:pt idx="371">
                  <c:v>17.134999999999994</c:v>
                </c:pt>
                <c:pt idx="372">
                  <c:v>17.134999999999994</c:v>
                </c:pt>
                <c:pt idx="373">
                  <c:v>17.134999999999994</c:v>
                </c:pt>
                <c:pt idx="374">
                  <c:v>17.134999999999994</c:v>
                </c:pt>
                <c:pt idx="375">
                  <c:v>17.134999999999994</c:v>
                </c:pt>
                <c:pt idx="376">
                  <c:v>17.134999999999994</c:v>
                </c:pt>
                <c:pt idx="377">
                  <c:v>17.134999999999994</c:v>
                </c:pt>
                <c:pt idx="378">
                  <c:v>17.134999999999994</c:v>
                </c:pt>
                <c:pt idx="379">
                  <c:v>17.134999999999994</c:v>
                </c:pt>
                <c:pt idx="380">
                  <c:v>17.134999999999994</c:v>
                </c:pt>
                <c:pt idx="381">
                  <c:v>17.134999999999994</c:v>
                </c:pt>
                <c:pt idx="382">
                  <c:v>17.134999999999994</c:v>
                </c:pt>
                <c:pt idx="383">
                  <c:v>17.134999999999994</c:v>
                </c:pt>
                <c:pt idx="384">
                  <c:v>17.134999999999994</c:v>
                </c:pt>
                <c:pt idx="385">
                  <c:v>17.134999999999994</c:v>
                </c:pt>
                <c:pt idx="386">
                  <c:v>17.134999999999994</c:v>
                </c:pt>
                <c:pt idx="387">
                  <c:v>17.134999999999994</c:v>
                </c:pt>
                <c:pt idx="388">
                  <c:v>17.134999999999994</c:v>
                </c:pt>
                <c:pt idx="389">
                  <c:v>17.134999999999994</c:v>
                </c:pt>
                <c:pt idx="390">
                  <c:v>17.134999999999994</c:v>
                </c:pt>
                <c:pt idx="391">
                  <c:v>17.134999999999994</c:v>
                </c:pt>
                <c:pt idx="392">
                  <c:v>17.134999999999994</c:v>
                </c:pt>
                <c:pt idx="393">
                  <c:v>17.134999999999994</c:v>
                </c:pt>
                <c:pt idx="394">
                  <c:v>17.134999999999994</c:v>
                </c:pt>
                <c:pt idx="395">
                  <c:v>17.134999999999994</c:v>
                </c:pt>
                <c:pt idx="396">
                  <c:v>17.134999999999994</c:v>
                </c:pt>
                <c:pt idx="397">
                  <c:v>17.134999999999994</c:v>
                </c:pt>
                <c:pt idx="398">
                  <c:v>17.134999999999994</c:v>
                </c:pt>
                <c:pt idx="399">
                  <c:v>17.134999999999994</c:v>
                </c:pt>
                <c:pt idx="400">
                  <c:v>17.134999999999994</c:v>
                </c:pt>
                <c:pt idx="401">
                  <c:v>17.134999999999994</c:v>
                </c:pt>
                <c:pt idx="402">
                  <c:v>17.134999999999994</c:v>
                </c:pt>
                <c:pt idx="403">
                  <c:v>17.134999999999994</c:v>
                </c:pt>
                <c:pt idx="404">
                  <c:v>17.134999999999994</c:v>
                </c:pt>
                <c:pt idx="405">
                  <c:v>17.134999999999994</c:v>
                </c:pt>
                <c:pt idx="406">
                  <c:v>17.134999999999994</c:v>
                </c:pt>
                <c:pt idx="407">
                  <c:v>17.134999999999994</c:v>
                </c:pt>
                <c:pt idx="408">
                  <c:v>17.134999999999994</c:v>
                </c:pt>
                <c:pt idx="409">
                  <c:v>17.134999999999994</c:v>
                </c:pt>
                <c:pt idx="410">
                  <c:v>17.134999999999994</c:v>
                </c:pt>
                <c:pt idx="411">
                  <c:v>17.134999999999994</c:v>
                </c:pt>
                <c:pt idx="412">
                  <c:v>17.134999999999994</c:v>
                </c:pt>
                <c:pt idx="413">
                  <c:v>17.134999999999994</c:v>
                </c:pt>
                <c:pt idx="414">
                  <c:v>17.134999999999994</c:v>
                </c:pt>
                <c:pt idx="415">
                  <c:v>17.134999999999994</c:v>
                </c:pt>
                <c:pt idx="416">
                  <c:v>17.134999999999994</c:v>
                </c:pt>
                <c:pt idx="417">
                  <c:v>17.134999999999994</c:v>
                </c:pt>
                <c:pt idx="418">
                  <c:v>17.134999999999994</c:v>
                </c:pt>
                <c:pt idx="419">
                  <c:v>17.134999999999994</c:v>
                </c:pt>
                <c:pt idx="420">
                  <c:v>17.134999999999994</c:v>
                </c:pt>
                <c:pt idx="421">
                  <c:v>17.134999999999994</c:v>
                </c:pt>
                <c:pt idx="422">
                  <c:v>17.134999999999994</c:v>
                </c:pt>
                <c:pt idx="423">
                  <c:v>17.134999999999994</c:v>
                </c:pt>
                <c:pt idx="424">
                  <c:v>17.134999999999994</c:v>
                </c:pt>
                <c:pt idx="425">
                  <c:v>17.134999999999994</c:v>
                </c:pt>
                <c:pt idx="426">
                  <c:v>17.134999999999994</c:v>
                </c:pt>
                <c:pt idx="427">
                  <c:v>17.134999999999994</c:v>
                </c:pt>
                <c:pt idx="428">
                  <c:v>17.134999999999994</c:v>
                </c:pt>
                <c:pt idx="429">
                  <c:v>17.134999999999994</c:v>
                </c:pt>
                <c:pt idx="430">
                  <c:v>17.134999999999994</c:v>
                </c:pt>
                <c:pt idx="431">
                  <c:v>17.134999999999994</c:v>
                </c:pt>
                <c:pt idx="432">
                  <c:v>17.134999999999994</c:v>
                </c:pt>
                <c:pt idx="433">
                  <c:v>17.134999999999994</c:v>
                </c:pt>
                <c:pt idx="434">
                  <c:v>17.134999999999994</c:v>
                </c:pt>
                <c:pt idx="435">
                  <c:v>17.134999999999994</c:v>
                </c:pt>
                <c:pt idx="436">
                  <c:v>17.134999999999994</c:v>
                </c:pt>
                <c:pt idx="437">
                  <c:v>17.134999999999994</c:v>
                </c:pt>
                <c:pt idx="438">
                  <c:v>17.134999999999994</c:v>
                </c:pt>
                <c:pt idx="439">
                  <c:v>17.134999999999994</c:v>
                </c:pt>
                <c:pt idx="440">
                  <c:v>17.134999999999994</c:v>
                </c:pt>
                <c:pt idx="441">
                  <c:v>17.134999999999994</c:v>
                </c:pt>
                <c:pt idx="442">
                  <c:v>17.134999999999994</c:v>
                </c:pt>
                <c:pt idx="443">
                  <c:v>17.134999999999994</c:v>
                </c:pt>
                <c:pt idx="444">
                  <c:v>17.134999999999994</c:v>
                </c:pt>
                <c:pt idx="445">
                  <c:v>17.134999999999994</c:v>
                </c:pt>
                <c:pt idx="446">
                  <c:v>17.134999999999994</c:v>
                </c:pt>
                <c:pt idx="447">
                  <c:v>17.134999999999994</c:v>
                </c:pt>
                <c:pt idx="448">
                  <c:v>17.134999999999994</c:v>
                </c:pt>
                <c:pt idx="449">
                  <c:v>17.134999999999994</c:v>
                </c:pt>
                <c:pt idx="450">
                  <c:v>17.134999999999994</c:v>
                </c:pt>
                <c:pt idx="451">
                  <c:v>17.134999999999994</c:v>
                </c:pt>
                <c:pt idx="452">
                  <c:v>17.134999999999994</c:v>
                </c:pt>
                <c:pt idx="453">
                  <c:v>17.134999999999994</c:v>
                </c:pt>
                <c:pt idx="454">
                  <c:v>17.134999999999994</c:v>
                </c:pt>
                <c:pt idx="455">
                  <c:v>17.134999999999994</c:v>
                </c:pt>
                <c:pt idx="456">
                  <c:v>17.134999999999994</c:v>
                </c:pt>
                <c:pt idx="457">
                  <c:v>17.134999999999994</c:v>
                </c:pt>
                <c:pt idx="458">
                  <c:v>17.134999999999994</c:v>
                </c:pt>
                <c:pt idx="459">
                  <c:v>17.134999999999994</c:v>
                </c:pt>
                <c:pt idx="460">
                  <c:v>17.134999999999994</c:v>
                </c:pt>
                <c:pt idx="461">
                  <c:v>17.134999999999994</c:v>
                </c:pt>
                <c:pt idx="462">
                  <c:v>17.134999999999994</c:v>
                </c:pt>
                <c:pt idx="463">
                  <c:v>17.134999999999994</c:v>
                </c:pt>
                <c:pt idx="464">
                  <c:v>17.134999999999994</c:v>
                </c:pt>
                <c:pt idx="465">
                  <c:v>17.134999999999994</c:v>
                </c:pt>
                <c:pt idx="466">
                  <c:v>17.134999999999994</c:v>
                </c:pt>
                <c:pt idx="467">
                  <c:v>17.134999999999994</c:v>
                </c:pt>
                <c:pt idx="468">
                  <c:v>17.134999999999994</c:v>
                </c:pt>
                <c:pt idx="469">
                  <c:v>17.134999999999994</c:v>
                </c:pt>
                <c:pt idx="470">
                  <c:v>17.134999999999994</c:v>
                </c:pt>
                <c:pt idx="471">
                  <c:v>17.134999999999994</c:v>
                </c:pt>
                <c:pt idx="472">
                  <c:v>17.134999999999994</c:v>
                </c:pt>
                <c:pt idx="473">
                  <c:v>17.134999999999994</c:v>
                </c:pt>
                <c:pt idx="474">
                  <c:v>17.134999999999994</c:v>
                </c:pt>
                <c:pt idx="475">
                  <c:v>17.134999999999994</c:v>
                </c:pt>
                <c:pt idx="476">
                  <c:v>17.134999999999994</c:v>
                </c:pt>
                <c:pt idx="477">
                  <c:v>17.134999999999994</c:v>
                </c:pt>
                <c:pt idx="478">
                  <c:v>17.134999999999994</c:v>
                </c:pt>
                <c:pt idx="479">
                  <c:v>17.134999999999994</c:v>
                </c:pt>
                <c:pt idx="480">
                  <c:v>17.134999999999994</c:v>
                </c:pt>
                <c:pt idx="481">
                  <c:v>17.134999999999994</c:v>
                </c:pt>
                <c:pt idx="482">
                  <c:v>17.134999999999994</c:v>
                </c:pt>
                <c:pt idx="483">
                  <c:v>17.134999999999994</c:v>
                </c:pt>
                <c:pt idx="484">
                  <c:v>17.134999999999994</c:v>
                </c:pt>
                <c:pt idx="485">
                  <c:v>17.134999999999994</c:v>
                </c:pt>
                <c:pt idx="486">
                  <c:v>17.134999999999994</c:v>
                </c:pt>
                <c:pt idx="487">
                  <c:v>17.134999999999994</c:v>
                </c:pt>
                <c:pt idx="488">
                  <c:v>17.134999999999994</c:v>
                </c:pt>
                <c:pt idx="489">
                  <c:v>17.134999999999994</c:v>
                </c:pt>
                <c:pt idx="490">
                  <c:v>17.134999999999994</c:v>
                </c:pt>
                <c:pt idx="491">
                  <c:v>17.134999999999994</c:v>
                </c:pt>
                <c:pt idx="492">
                  <c:v>17.134999999999994</c:v>
                </c:pt>
                <c:pt idx="493">
                  <c:v>17.134999999999994</c:v>
                </c:pt>
                <c:pt idx="494">
                  <c:v>17.134999999999994</c:v>
                </c:pt>
                <c:pt idx="495">
                  <c:v>17.134999999999994</c:v>
                </c:pt>
                <c:pt idx="496">
                  <c:v>17.134999999999994</c:v>
                </c:pt>
                <c:pt idx="497">
                  <c:v>17.134999999999994</c:v>
                </c:pt>
                <c:pt idx="498">
                  <c:v>17.134999999999994</c:v>
                </c:pt>
                <c:pt idx="499">
                  <c:v>17.134999999999994</c:v>
                </c:pt>
                <c:pt idx="500">
                  <c:v>17.134999999999994</c:v>
                </c:pt>
                <c:pt idx="501">
                  <c:v>17.134999999999994</c:v>
                </c:pt>
                <c:pt idx="502">
                  <c:v>17.134999999999994</c:v>
                </c:pt>
                <c:pt idx="503">
                  <c:v>17.134999999999994</c:v>
                </c:pt>
                <c:pt idx="504">
                  <c:v>17.134999999999994</c:v>
                </c:pt>
                <c:pt idx="505">
                  <c:v>17.134999999999994</c:v>
                </c:pt>
                <c:pt idx="506">
                  <c:v>17.134999999999994</c:v>
                </c:pt>
                <c:pt idx="507">
                  <c:v>17.134999999999994</c:v>
                </c:pt>
                <c:pt idx="508">
                  <c:v>17.134999999999994</c:v>
                </c:pt>
                <c:pt idx="509">
                  <c:v>17.134999999999994</c:v>
                </c:pt>
                <c:pt idx="510">
                  <c:v>17.134999999999994</c:v>
                </c:pt>
                <c:pt idx="511">
                  <c:v>17.134999999999994</c:v>
                </c:pt>
                <c:pt idx="512">
                  <c:v>17.134999999999994</c:v>
                </c:pt>
                <c:pt idx="513">
                  <c:v>17.134999999999994</c:v>
                </c:pt>
                <c:pt idx="514">
                  <c:v>17.134999999999994</c:v>
                </c:pt>
                <c:pt idx="515">
                  <c:v>17.134999999999994</c:v>
                </c:pt>
                <c:pt idx="516">
                  <c:v>17.134999999999994</c:v>
                </c:pt>
                <c:pt idx="517">
                  <c:v>17.134999999999994</c:v>
                </c:pt>
                <c:pt idx="518">
                  <c:v>17.134999999999994</c:v>
                </c:pt>
                <c:pt idx="519">
                  <c:v>17.134999999999994</c:v>
                </c:pt>
                <c:pt idx="520">
                  <c:v>17.134999999999994</c:v>
                </c:pt>
                <c:pt idx="521">
                  <c:v>17.134999999999994</c:v>
                </c:pt>
                <c:pt idx="522">
                  <c:v>17.134999999999994</c:v>
                </c:pt>
                <c:pt idx="523">
                  <c:v>17.134999999999994</c:v>
                </c:pt>
                <c:pt idx="524">
                  <c:v>17.134999999999994</c:v>
                </c:pt>
                <c:pt idx="525">
                  <c:v>17.134999999999994</c:v>
                </c:pt>
                <c:pt idx="526">
                  <c:v>17.134999999999994</c:v>
                </c:pt>
                <c:pt idx="527">
                  <c:v>17.134999999999994</c:v>
                </c:pt>
                <c:pt idx="528">
                  <c:v>17.134999999999994</c:v>
                </c:pt>
                <c:pt idx="529">
                  <c:v>17.134999999999994</c:v>
                </c:pt>
                <c:pt idx="530">
                  <c:v>17.134999999999994</c:v>
                </c:pt>
                <c:pt idx="531">
                  <c:v>17.134999999999994</c:v>
                </c:pt>
                <c:pt idx="532">
                  <c:v>17.134999999999994</c:v>
                </c:pt>
                <c:pt idx="533">
                  <c:v>17.134999999999994</c:v>
                </c:pt>
                <c:pt idx="534">
                  <c:v>17.134999999999994</c:v>
                </c:pt>
                <c:pt idx="535">
                  <c:v>17.134999999999994</c:v>
                </c:pt>
                <c:pt idx="536">
                  <c:v>17.134999999999994</c:v>
                </c:pt>
                <c:pt idx="537">
                  <c:v>17.134999999999994</c:v>
                </c:pt>
                <c:pt idx="538">
                  <c:v>17.134999999999994</c:v>
                </c:pt>
                <c:pt idx="539">
                  <c:v>17.134999999999994</c:v>
                </c:pt>
                <c:pt idx="540">
                  <c:v>17.134999999999994</c:v>
                </c:pt>
                <c:pt idx="541">
                  <c:v>17.134999999999994</c:v>
                </c:pt>
                <c:pt idx="542">
                  <c:v>17.134999999999994</c:v>
                </c:pt>
                <c:pt idx="543">
                  <c:v>17.134999999999994</c:v>
                </c:pt>
                <c:pt idx="544">
                  <c:v>17.134999999999994</c:v>
                </c:pt>
                <c:pt idx="545">
                  <c:v>17.134999999999994</c:v>
                </c:pt>
                <c:pt idx="546">
                  <c:v>17.134999999999994</c:v>
                </c:pt>
                <c:pt idx="547">
                  <c:v>17.134999999999994</c:v>
                </c:pt>
                <c:pt idx="548">
                  <c:v>17.134999999999994</c:v>
                </c:pt>
                <c:pt idx="549">
                  <c:v>17.134999999999994</c:v>
                </c:pt>
                <c:pt idx="550">
                  <c:v>17.134999999999994</c:v>
                </c:pt>
                <c:pt idx="551">
                  <c:v>17.134999999999994</c:v>
                </c:pt>
                <c:pt idx="552">
                  <c:v>17.134999999999994</c:v>
                </c:pt>
                <c:pt idx="553">
                  <c:v>17.134999999999994</c:v>
                </c:pt>
                <c:pt idx="554">
                  <c:v>17.134999999999994</c:v>
                </c:pt>
                <c:pt idx="555">
                  <c:v>17.134999999999994</c:v>
                </c:pt>
                <c:pt idx="556">
                  <c:v>17.134999999999994</c:v>
                </c:pt>
                <c:pt idx="557">
                  <c:v>17.134999999999994</c:v>
                </c:pt>
                <c:pt idx="558">
                  <c:v>17.134999999999994</c:v>
                </c:pt>
                <c:pt idx="559">
                  <c:v>17.134999999999994</c:v>
                </c:pt>
                <c:pt idx="560">
                  <c:v>17.134999999999994</c:v>
                </c:pt>
                <c:pt idx="561">
                  <c:v>17.134999999999994</c:v>
                </c:pt>
                <c:pt idx="562">
                  <c:v>17.134999999999994</c:v>
                </c:pt>
                <c:pt idx="563">
                  <c:v>17.134999999999994</c:v>
                </c:pt>
                <c:pt idx="564">
                  <c:v>17.134999999999994</c:v>
                </c:pt>
                <c:pt idx="565">
                  <c:v>17.134999999999994</c:v>
                </c:pt>
                <c:pt idx="566">
                  <c:v>17.134999999999994</c:v>
                </c:pt>
                <c:pt idx="567">
                  <c:v>17.134999999999994</c:v>
                </c:pt>
                <c:pt idx="568">
                  <c:v>17.134999999999994</c:v>
                </c:pt>
                <c:pt idx="569">
                  <c:v>17.134999999999994</c:v>
                </c:pt>
                <c:pt idx="570">
                  <c:v>17.134999999999994</c:v>
                </c:pt>
                <c:pt idx="571">
                  <c:v>17.134999999999994</c:v>
                </c:pt>
                <c:pt idx="572">
                  <c:v>17.134999999999994</c:v>
                </c:pt>
                <c:pt idx="573">
                  <c:v>17.134999999999994</c:v>
                </c:pt>
                <c:pt idx="574">
                  <c:v>17.134999999999994</c:v>
                </c:pt>
                <c:pt idx="575">
                  <c:v>17.134999999999994</c:v>
                </c:pt>
                <c:pt idx="576">
                  <c:v>17.134999999999994</c:v>
                </c:pt>
                <c:pt idx="577">
                  <c:v>17.134999999999994</c:v>
                </c:pt>
                <c:pt idx="578">
                  <c:v>17.134999999999994</c:v>
                </c:pt>
                <c:pt idx="579">
                  <c:v>17.134999999999994</c:v>
                </c:pt>
                <c:pt idx="580">
                  <c:v>17.134999999999994</c:v>
                </c:pt>
                <c:pt idx="581">
                  <c:v>17.134999999999994</c:v>
                </c:pt>
                <c:pt idx="582">
                  <c:v>17.134999999999994</c:v>
                </c:pt>
                <c:pt idx="583">
                  <c:v>17.134999999999994</c:v>
                </c:pt>
                <c:pt idx="584">
                  <c:v>17.134999999999994</c:v>
                </c:pt>
                <c:pt idx="585">
                  <c:v>17.134999999999994</c:v>
                </c:pt>
                <c:pt idx="586">
                  <c:v>17.134999999999994</c:v>
                </c:pt>
                <c:pt idx="587">
                  <c:v>17.134999999999994</c:v>
                </c:pt>
                <c:pt idx="588">
                  <c:v>17.134999999999994</c:v>
                </c:pt>
                <c:pt idx="589">
                  <c:v>17.134999999999994</c:v>
                </c:pt>
                <c:pt idx="590">
                  <c:v>17.134999999999994</c:v>
                </c:pt>
                <c:pt idx="591">
                  <c:v>17.134999999999994</c:v>
                </c:pt>
                <c:pt idx="592">
                  <c:v>17.134999999999994</c:v>
                </c:pt>
                <c:pt idx="593">
                  <c:v>17.134999999999994</c:v>
                </c:pt>
                <c:pt idx="594">
                  <c:v>17.134999999999994</c:v>
                </c:pt>
                <c:pt idx="595">
                  <c:v>17.134999999999994</c:v>
                </c:pt>
                <c:pt idx="596">
                  <c:v>17.134999999999994</c:v>
                </c:pt>
                <c:pt idx="597">
                  <c:v>17.134999999999994</c:v>
                </c:pt>
                <c:pt idx="598">
                  <c:v>17.134999999999994</c:v>
                </c:pt>
                <c:pt idx="599">
                  <c:v>17.134999999999994</c:v>
                </c:pt>
                <c:pt idx="600">
                  <c:v>17.134999999999994</c:v>
                </c:pt>
                <c:pt idx="601">
                  <c:v>17.134999999999994</c:v>
                </c:pt>
                <c:pt idx="602">
                  <c:v>17.134999999999994</c:v>
                </c:pt>
                <c:pt idx="603">
                  <c:v>17.134999999999994</c:v>
                </c:pt>
                <c:pt idx="604">
                  <c:v>17.134999999999994</c:v>
                </c:pt>
                <c:pt idx="605">
                  <c:v>17.134999999999994</c:v>
                </c:pt>
                <c:pt idx="606">
                  <c:v>17.134999999999994</c:v>
                </c:pt>
                <c:pt idx="607">
                  <c:v>17.134999999999994</c:v>
                </c:pt>
                <c:pt idx="608">
                  <c:v>17.134999999999994</c:v>
                </c:pt>
                <c:pt idx="609">
                  <c:v>17.134999999999994</c:v>
                </c:pt>
                <c:pt idx="610">
                  <c:v>17.134999999999994</c:v>
                </c:pt>
                <c:pt idx="611">
                  <c:v>17.134999999999994</c:v>
                </c:pt>
                <c:pt idx="612">
                  <c:v>17.134999999999994</c:v>
                </c:pt>
                <c:pt idx="613">
                  <c:v>17.134999999999994</c:v>
                </c:pt>
                <c:pt idx="614">
                  <c:v>17.134999999999994</c:v>
                </c:pt>
                <c:pt idx="615">
                  <c:v>17.134999999999994</c:v>
                </c:pt>
                <c:pt idx="616">
                  <c:v>17.134999999999994</c:v>
                </c:pt>
                <c:pt idx="617">
                  <c:v>17.134999999999994</c:v>
                </c:pt>
                <c:pt idx="618">
                  <c:v>17.134999999999994</c:v>
                </c:pt>
                <c:pt idx="619">
                  <c:v>17.134999999999994</c:v>
                </c:pt>
                <c:pt idx="620">
                  <c:v>17.134999999999994</c:v>
                </c:pt>
                <c:pt idx="621">
                  <c:v>17.134999999999994</c:v>
                </c:pt>
                <c:pt idx="622">
                  <c:v>17.134999999999994</c:v>
                </c:pt>
                <c:pt idx="623">
                  <c:v>17.134999999999994</c:v>
                </c:pt>
                <c:pt idx="624">
                  <c:v>17.134999999999994</c:v>
                </c:pt>
                <c:pt idx="625">
                  <c:v>17.134999999999994</c:v>
                </c:pt>
                <c:pt idx="626">
                  <c:v>17.134999999999994</c:v>
                </c:pt>
                <c:pt idx="627">
                  <c:v>17.134999999999994</c:v>
                </c:pt>
                <c:pt idx="628">
                  <c:v>17.134999999999994</c:v>
                </c:pt>
                <c:pt idx="629">
                  <c:v>17.134999999999994</c:v>
                </c:pt>
                <c:pt idx="630">
                  <c:v>17.134999999999994</c:v>
                </c:pt>
                <c:pt idx="631">
                  <c:v>17.134999999999994</c:v>
                </c:pt>
                <c:pt idx="632">
                  <c:v>17.134999999999994</c:v>
                </c:pt>
                <c:pt idx="633">
                  <c:v>17.134999999999994</c:v>
                </c:pt>
                <c:pt idx="634">
                  <c:v>17.134999999999994</c:v>
                </c:pt>
                <c:pt idx="635">
                  <c:v>17.134999999999994</c:v>
                </c:pt>
                <c:pt idx="636">
                  <c:v>17.134999999999994</c:v>
                </c:pt>
                <c:pt idx="637">
                  <c:v>17.134999999999994</c:v>
                </c:pt>
                <c:pt idx="638">
                  <c:v>17.134999999999994</c:v>
                </c:pt>
                <c:pt idx="639">
                  <c:v>17.134999999999994</c:v>
                </c:pt>
                <c:pt idx="640">
                  <c:v>17.134999999999994</c:v>
                </c:pt>
                <c:pt idx="641">
                  <c:v>17.134999999999994</c:v>
                </c:pt>
                <c:pt idx="642">
                  <c:v>17.134999999999994</c:v>
                </c:pt>
                <c:pt idx="643">
                  <c:v>17.134999999999994</c:v>
                </c:pt>
                <c:pt idx="644">
                  <c:v>17.134999999999994</c:v>
                </c:pt>
                <c:pt idx="645">
                  <c:v>17.134999999999994</c:v>
                </c:pt>
                <c:pt idx="646">
                  <c:v>17.134999999999994</c:v>
                </c:pt>
                <c:pt idx="647">
                  <c:v>17.134999999999994</c:v>
                </c:pt>
                <c:pt idx="648">
                  <c:v>17.134999999999994</c:v>
                </c:pt>
                <c:pt idx="649">
                  <c:v>17.134999999999994</c:v>
                </c:pt>
                <c:pt idx="650">
                  <c:v>17.134999999999994</c:v>
                </c:pt>
                <c:pt idx="651">
                  <c:v>17.134999999999994</c:v>
                </c:pt>
                <c:pt idx="652">
                  <c:v>17.134999999999994</c:v>
                </c:pt>
                <c:pt idx="653">
                  <c:v>17.134999999999994</c:v>
                </c:pt>
                <c:pt idx="654">
                  <c:v>17.134999999999994</c:v>
                </c:pt>
                <c:pt idx="655">
                  <c:v>17.134999999999994</c:v>
                </c:pt>
                <c:pt idx="656">
                  <c:v>17.134999999999994</c:v>
                </c:pt>
                <c:pt idx="657">
                  <c:v>17.134999999999994</c:v>
                </c:pt>
                <c:pt idx="658">
                  <c:v>17.134999999999994</c:v>
                </c:pt>
                <c:pt idx="659">
                  <c:v>17.134999999999994</c:v>
                </c:pt>
                <c:pt idx="660">
                  <c:v>17.134999999999994</c:v>
                </c:pt>
                <c:pt idx="661">
                  <c:v>17.134999999999994</c:v>
                </c:pt>
                <c:pt idx="662">
                  <c:v>17.134999999999994</c:v>
                </c:pt>
                <c:pt idx="663">
                  <c:v>17.134999999999994</c:v>
                </c:pt>
                <c:pt idx="664">
                  <c:v>17.134999999999994</c:v>
                </c:pt>
                <c:pt idx="665">
                  <c:v>17.134999999999994</c:v>
                </c:pt>
                <c:pt idx="666">
                  <c:v>17.134999999999994</c:v>
                </c:pt>
                <c:pt idx="667">
                  <c:v>17.134999999999994</c:v>
                </c:pt>
                <c:pt idx="668">
                  <c:v>17.134999999999994</c:v>
                </c:pt>
                <c:pt idx="669">
                  <c:v>17.134999999999994</c:v>
                </c:pt>
                <c:pt idx="670">
                  <c:v>17.134999999999994</c:v>
                </c:pt>
                <c:pt idx="671">
                  <c:v>17.134999999999994</c:v>
                </c:pt>
                <c:pt idx="672">
                  <c:v>17.134999999999994</c:v>
                </c:pt>
                <c:pt idx="673">
                  <c:v>17.134999999999994</c:v>
                </c:pt>
                <c:pt idx="674">
                  <c:v>17.134999999999994</c:v>
                </c:pt>
                <c:pt idx="675">
                  <c:v>17.134999999999994</c:v>
                </c:pt>
                <c:pt idx="676">
                  <c:v>17.134999999999994</c:v>
                </c:pt>
                <c:pt idx="677">
                  <c:v>17.134999999999994</c:v>
                </c:pt>
                <c:pt idx="678">
                  <c:v>17.134999999999994</c:v>
                </c:pt>
                <c:pt idx="679">
                  <c:v>17.134999999999994</c:v>
                </c:pt>
                <c:pt idx="680">
                  <c:v>17.134999999999994</c:v>
                </c:pt>
                <c:pt idx="681">
                  <c:v>17.134999999999994</c:v>
                </c:pt>
                <c:pt idx="682">
                  <c:v>17.134999999999994</c:v>
                </c:pt>
                <c:pt idx="683">
                  <c:v>17.134999999999994</c:v>
                </c:pt>
                <c:pt idx="684">
                  <c:v>17.134999999999994</c:v>
                </c:pt>
                <c:pt idx="685">
                  <c:v>17.134999999999994</c:v>
                </c:pt>
                <c:pt idx="686">
                  <c:v>17.134999999999994</c:v>
                </c:pt>
                <c:pt idx="687">
                  <c:v>17.134999999999994</c:v>
                </c:pt>
                <c:pt idx="688">
                  <c:v>17.134999999999994</c:v>
                </c:pt>
                <c:pt idx="689">
                  <c:v>17.134999999999994</c:v>
                </c:pt>
                <c:pt idx="690">
                  <c:v>17.134999999999994</c:v>
                </c:pt>
                <c:pt idx="691">
                  <c:v>17.134999999999994</c:v>
                </c:pt>
                <c:pt idx="692">
                  <c:v>17.134999999999994</c:v>
                </c:pt>
                <c:pt idx="693">
                  <c:v>17.134999999999994</c:v>
                </c:pt>
                <c:pt idx="694">
                  <c:v>17.134999999999994</c:v>
                </c:pt>
                <c:pt idx="695">
                  <c:v>17.134999999999994</c:v>
                </c:pt>
                <c:pt idx="696">
                  <c:v>17.134999999999994</c:v>
                </c:pt>
                <c:pt idx="697">
                  <c:v>17.134999999999994</c:v>
                </c:pt>
                <c:pt idx="698">
                  <c:v>17.134999999999994</c:v>
                </c:pt>
                <c:pt idx="699">
                  <c:v>17.134999999999994</c:v>
                </c:pt>
                <c:pt idx="700">
                  <c:v>17.134999999999994</c:v>
                </c:pt>
                <c:pt idx="701">
                  <c:v>17.134999999999994</c:v>
                </c:pt>
                <c:pt idx="702">
                  <c:v>17.134999999999994</c:v>
                </c:pt>
                <c:pt idx="703">
                  <c:v>17.134999999999994</c:v>
                </c:pt>
                <c:pt idx="704">
                  <c:v>17.134999999999994</c:v>
                </c:pt>
                <c:pt idx="705">
                  <c:v>17.134999999999994</c:v>
                </c:pt>
                <c:pt idx="706">
                  <c:v>17.134999999999994</c:v>
                </c:pt>
                <c:pt idx="707">
                  <c:v>17.134999999999994</c:v>
                </c:pt>
                <c:pt idx="708">
                  <c:v>17.134999999999994</c:v>
                </c:pt>
                <c:pt idx="709">
                  <c:v>17.134999999999994</c:v>
                </c:pt>
                <c:pt idx="710">
                  <c:v>17.134999999999994</c:v>
                </c:pt>
                <c:pt idx="711">
                  <c:v>17.134999999999994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4-4C58-8AEC-B747D1778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forward val="1"/>
            <c:backward val="1"/>
            <c:dispRSqr val="0"/>
            <c:dispEq val="0"/>
          </c:trendline>
          <c:xVal>
            <c:numRef>
              <c:f>Interpolate!$B$4:$B$8</c:f>
              <c:numCache>
                <c:formatCode>General</c:formatCode>
                <c:ptCount val="5"/>
                <c:pt idx="0">
                  <c:v>96</c:v>
                </c:pt>
                <c:pt idx="2">
                  <c:v>100</c:v>
                </c:pt>
                <c:pt idx="4">
                  <c:v>104</c:v>
                </c:pt>
              </c:numCache>
            </c:numRef>
          </c:xVal>
          <c:yVal>
            <c:numRef>
              <c:f>Interpolate!$C$4:$C$8</c:f>
              <c:numCache>
                <c:formatCode>General</c:formatCode>
                <c:ptCount val="5"/>
                <c:pt idx="0">
                  <c:v>400</c:v>
                </c:pt>
                <c:pt idx="2">
                  <c:v>412.5</c:v>
                </c:pt>
                <c:pt idx="4">
                  <c:v>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46-4313-9FE4-D6584163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0913008"/>
        <c:axId val="460913400"/>
      </c:scatterChart>
      <c:valAx>
        <c:axId val="460913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60913400"/>
        <c:crosses val="autoZero"/>
        <c:crossBetween val="midCat"/>
      </c:valAx>
      <c:valAx>
        <c:axId val="4609134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609130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Calibration!$B$25:$B$54</c:f>
              <c:numCache>
                <c:formatCode>General</c:formatCode>
                <c:ptCount val="3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</c:numCache>
            </c:numRef>
          </c:xVal>
          <c:yVal>
            <c:numRef>
              <c:f>Calibration!$F$25:$F$54</c:f>
              <c:numCache>
                <c:formatCode>General</c:formatCode>
                <c:ptCount val="30"/>
                <c:pt idx="0">
                  <c:v>-2.5</c:v>
                </c:pt>
                <c:pt idx="1">
                  <c:v>-2</c:v>
                </c:pt>
                <c:pt idx="2">
                  <c:v>-2.5</c:v>
                </c:pt>
                <c:pt idx="3">
                  <c:v>-2.5</c:v>
                </c:pt>
                <c:pt idx="4">
                  <c:v>-5.5</c:v>
                </c:pt>
                <c:pt idx="5">
                  <c:v>-3</c:v>
                </c:pt>
                <c:pt idx="6">
                  <c:v>-3.5</c:v>
                </c:pt>
                <c:pt idx="7">
                  <c:v>-7</c:v>
                </c:pt>
                <c:pt idx="8">
                  <c:v>-3.5</c:v>
                </c:pt>
                <c:pt idx="9">
                  <c:v>-4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-0.5</c:v>
                </c:pt>
                <c:pt idx="14">
                  <c:v>6.5</c:v>
                </c:pt>
                <c:pt idx="15">
                  <c:v>5.5</c:v>
                </c:pt>
                <c:pt idx="16">
                  <c:v>6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1</c:v>
                </c:pt>
                <c:pt idx="22">
                  <c:v>2</c:v>
                </c:pt>
                <c:pt idx="23">
                  <c:v>5.5</c:v>
                </c:pt>
                <c:pt idx="24">
                  <c:v>6</c:v>
                </c:pt>
                <c:pt idx="25">
                  <c:v>2</c:v>
                </c:pt>
                <c:pt idx="26">
                  <c:v>19</c:v>
                </c:pt>
                <c:pt idx="27">
                  <c:v>22</c:v>
                </c:pt>
                <c:pt idx="28">
                  <c:v>11</c:v>
                </c:pt>
                <c:pt idx="29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2E-4C0D-B028-B75FFF999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198703"/>
        <c:axId val="1557193903"/>
      </c:scatterChart>
      <c:valAx>
        <c:axId val="1557198703"/>
        <c:scaling>
          <c:orientation val="minMax"/>
          <c:max val="1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3903"/>
        <c:crosses val="autoZero"/>
        <c:crossBetween val="midCat"/>
      </c:valAx>
      <c:valAx>
        <c:axId val="1557193903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Shooting!$E$18:$E$332</c:f>
              <c:numCache>
                <c:formatCode>General</c:formatCode>
                <c:ptCount val="315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  <c:pt idx="13">
                  <c:v>7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6</c:v>
                </c:pt>
                <c:pt idx="21">
                  <c:v>8</c:v>
                </c:pt>
                <c:pt idx="22">
                  <c:v>1</c:v>
                </c:pt>
                <c:pt idx="23">
                  <c:v>2</c:v>
                </c:pt>
                <c:pt idx="24">
                  <c:v>3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6</c:v>
                </c:pt>
                <c:pt idx="29">
                  <c:v>7</c:v>
                </c:pt>
                <c:pt idx="30">
                  <c:v>8</c:v>
                </c:pt>
                <c:pt idx="31">
                  <c:v>1</c:v>
                </c:pt>
                <c:pt idx="32">
                  <c:v>2</c:v>
                </c:pt>
                <c:pt idx="33">
                  <c:v>3</c:v>
                </c:pt>
                <c:pt idx="34">
                  <c:v>5</c:v>
                </c:pt>
                <c:pt idx="35">
                  <c:v>6</c:v>
                </c:pt>
                <c:pt idx="36">
                  <c:v>7</c:v>
                </c:pt>
                <c:pt idx="37">
                  <c:v>8</c:v>
                </c:pt>
                <c:pt idx="38">
                  <c:v>1</c:v>
                </c:pt>
                <c:pt idx="39">
                  <c:v>2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  <c:pt idx="43">
                  <c:v>8</c:v>
                </c:pt>
                <c:pt idx="44">
                  <c:v>1</c:v>
                </c:pt>
                <c:pt idx="45">
                  <c:v>2</c:v>
                </c:pt>
                <c:pt idx="46">
                  <c:v>3</c:v>
                </c:pt>
                <c:pt idx="47">
                  <c:v>4</c:v>
                </c:pt>
                <c:pt idx="48">
                  <c:v>5</c:v>
                </c:pt>
                <c:pt idx="49">
                  <c:v>7</c:v>
                </c:pt>
                <c:pt idx="50">
                  <c:v>7</c:v>
                </c:pt>
                <c:pt idx="51">
                  <c:v>8</c:v>
                </c:pt>
                <c:pt idx="52">
                  <c:v>1</c:v>
                </c:pt>
                <c:pt idx="53">
                  <c:v>2</c:v>
                </c:pt>
                <c:pt idx="54">
                  <c:v>3</c:v>
                </c:pt>
                <c:pt idx="55">
                  <c:v>4</c:v>
                </c:pt>
                <c:pt idx="56">
                  <c:v>5</c:v>
                </c:pt>
                <c:pt idx="57">
                  <c:v>6</c:v>
                </c:pt>
                <c:pt idx="58">
                  <c:v>7</c:v>
                </c:pt>
                <c:pt idx="59">
                  <c:v>8</c:v>
                </c:pt>
                <c:pt idx="60">
                  <c:v>1</c:v>
                </c:pt>
                <c:pt idx="61">
                  <c:v>5</c:v>
                </c:pt>
                <c:pt idx="62">
                  <c:v>2</c:v>
                </c:pt>
                <c:pt idx="63">
                  <c:v>3</c:v>
                </c:pt>
                <c:pt idx="64">
                  <c:v>4</c:v>
                </c:pt>
                <c:pt idx="65">
                  <c:v>5</c:v>
                </c:pt>
                <c:pt idx="66">
                  <c:v>6</c:v>
                </c:pt>
                <c:pt idx="67">
                  <c:v>7</c:v>
                </c:pt>
                <c:pt idx="68">
                  <c:v>8</c:v>
                </c:pt>
                <c:pt idx="69">
                  <c:v>1</c:v>
                </c:pt>
                <c:pt idx="70">
                  <c:v>2</c:v>
                </c:pt>
                <c:pt idx="71">
                  <c:v>3</c:v>
                </c:pt>
                <c:pt idx="72">
                  <c:v>4</c:v>
                </c:pt>
                <c:pt idx="73">
                  <c:v>5</c:v>
                </c:pt>
                <c:pt idx="74">
                  <c:v>6</c:v>
                </c:pt>
                <c:pt idx="75">
                  <c:v>7</c:v>
                </c:pt>
                <c:pt idx="76">
                  <c:v>8</c:v>
                </c:pt>
                <c:pt idx="77">
                  <c:v>1</c:v>
                </c:pt>
                <c:pt idx="78">
                  <c:v>2</c:v>
                </c:pt>
                <c:pt idx="79">
                  <c:v>3</c:v>
                </c:pt>
                <c:pt idx="80">
                  <c:v>4</c:v>
                </c:pt>
                <c:pt idx="81">
                  <c:v>5</c:v>
                </c:pt>
                <c:pt idx="82">
                  <c:v>6</c:v>
                </c:pt>
                <c:pt idx="83">
                  <c:v>7</c:v>
                </c:pt>
                <c:pt idx="84">
                  <c:v>8</c:v>
                </c:pt>
                <c:pt idx="85">
                  <c:v>1</c:v>
                </c:pt>
                <c:pt idx="86">
                  <c:v>2</c:v>
                </c:pt>
                <c:pt idx="87">
                  <c:v>3</c:v>
                </c:pt>
                <c:pt idx="88">
                  <c:v>4</c:v>
                </c:pt>
                <c:pt idx="89">
                  <c:v>5</c:v>
                </c:pt>
                <c:pt idx="90">
                  <c:v>6</c:v>
                </c:pt>
                <c:pt idx="91">
                  <c:v>7</c:v>
                </c:pt>
                <c:pt idx="92">
                  <c:v>8</c:v>
                </c:pt>
                <c:pt idx="93">
                  <c:v>1</c:v>
                </c:pt>
                <c:pt idx="94">
                  <c:v>2</c:v>
                </c:pt>
              </c:numCache>
            </c:numRef>
          </c:xVal>
          <c:yVal>
            <c:numRef>
              <c:f>Shooting!$H$18:$H$331</c:f>
              <c:numCache>
                <c:formatCode>General</c:formatCode>
                <c:ptCount val="314"/>
                <c:pt idx="0">
                  <c:v>88</c:v>
                </c:pt>
                <c:pt idx="1">
                  <c:v>101</c:v>
                </c:pt>
                <c:pt idx="2">
                  <c:v>94</c:v>
                </c:pt>
                <c:pt idx="3">
                  <c:v>69</c:v>
                </c:pt>
                <c:pt idx="4">
                  <c:v>98</c:v>
                </c:pt>
                <c:pt idx="5">
                  <c:v>108</c:v>
                </c:pt>
                <c:pt idx="6">
                  <c:v>101</c:v>
                </c:pt>
                <c:pt idx="7">
                  <c:v>97</c:v>
                </c:pt>
                <c:pt idx="8">
                  <c:v>104</c:v>
                </c:pt>
                <c:pt idx="9">
                  <c:v>107</c:v>
                </c:pt>
                <c:pt idx="10">
                  <c:v>82</c:v>
                </c:pt>
                <c:pt idx="11">
                  <c:v>101</c:v>
                </c:pt>
                <c:pt idx="12">
                  <c:v>119</c:v>
                </c:pt>
                <c:pt idx="13">
                  <c:v>101</c:v>
                </c:pt>
                <c:pt idx="14">
                  <c:v>119</c:v>
                </c:pt>
                <c:pt idx="15">
                  <c:v>114</c:v>
                </c:pt>
                <c:pt idx="16">
                  <c:v>100</c:v>
                </c:pt>
                <c:pt idx="17">
                  <c:v>106</c:v>
                </c:pt>
                <c:pt idx="18">
                  <c:v>103</c:v>
                </c:pt>
                <c:pt idx="19">
                  <c:v>74</c:v>
                </c:pt>
                <c:pt idx="20">
                  <c:v>126</c:v>
                </c:pt>
                <c:pt idx="21">
                  <c:v>97</c:v>
                </c:pt>
                <c:pt idx="22">
                  <c:v>89</c:v>
                </c:pt>
                <c:pt idx="23">
                  <c:v>111</c:v>
                </c:pt>
                <c:pt idx="24">
                  <c:v>110</c:v>
                </c:pt>
                <c:pt idx="25">
                  <c:v>103</c:v>
                </c:pt>
                <c:pt idx="26">
                  <c:v>57</c:v>
                </c:pt>
                <c:pt idx="27">
                  <c:v>76</c:v>
                </c:pt>
                <c:pt idx="28">
                  <c:v>128</c:v>
                </c:pt>
                <c:pt idx="29">
                  <c:v>65</c:v>
                </c:pt>
                <c:pt idx="30">
                  <c:v>112</c:v>
                </c:pt>
                <c:pt idx="31">
                  <c:v>83</c:v>
                </c:pt>
                <c:pt idx="32">
                  <c:v>94</c:v>
                </c:pt>
                <c:pt idx="33">
                  <c:v>105</c:v>
                </c:pt>
                <c:pt idx="34">
                  <c:v>108</c:v>
                </c:pt>
                <c:pt idx="35">
                  <c:v>107</c:v>
                </c:pt>
                <c:pt idx="36">
                  <c:v>117</c:v>
                </c:pt>
                <c:pt idx="37">
                  <c:v>108</c:v>
                </c:pt>
                <c:pt idx="38">
                  <c:v>97</c:v>
                </c:pt>
                <c:pt idx="39">
                  <c:v>99</c:v>
                </c:pt>
                <c:pt idx="40">
                  <c:v>87</c:v>
                </c:pt>
                <c:pt idx="41">
                  <c:v>119</c:v>
                </c:pt>
                <c:pt idx="42">
                  <c:v>102</c:v>
                </c:pt>
                <c:pt idx="43">
                  <c:v>118</c:v>
                </c:pt>
                <c:pt idx="44">
                  <c:v>78</c:v>
                </c:pt>
                <c:pt idx="45">
                  <c:v>110</c:v>
                </c:pt>
                <c:pt idx="46">
                  <c:v>115</c:v>
                </c:pt>
                <c:pt idx="47">
                  <c:v>71</c:v>
                </c:pt>
                <c:pt idx="48">
                  <c:v>100</c:v>
                </c:pt>
                <c:pt idx="49">
                  <c:v>117</c:v>
                </c:pt>
                <c:pt idx="50">
                  <c:v>108</c:v>
                </c:pt>
                <c:pt idx="51">
                  <c:v>91</c:v>
                </c:pt>
                <c:pt idx="52">
                  <c:v>92</c:v>
                </c:pt>
                <c:pt idx="53">
                  <c:v>100</c:v>
                </c:pt>
                <c:pt idx="54">
                  <c:v>81</c:v>
                </c:pt>
                <c:pt idx="55">
                  <c:v>93</c:v>
                </c:pt>
                <c:pt idx="56">
                  <c:v>82</c:v>
                </c:pt>
                <c:pt idx="57">
                  <c:v>106</c:v>
                </c:pt>
                <c:pt idx="58">
                  <c:v>109</c:v>
                </c:pt>
                <c:pt idx="59">
                  <c:v>98</c:v>
                </c:pt>
                <c:pt idx="60">
                  <c:v>103</c:v>
                </c:pt>
                <c:pt idx="61">
                  <c:v>94</c:v>
                </c:pt>
                <c:pt idx="62">
                  <c:v>92</c:v>
                </c:pt>
                <c:pt idx="63">
                  <c:v>104</c:v>
                </c:pt>
                <c:pt idx="64">
                  <c:v>107</c:v>
                </c:pt>
                <c:pt idx="65">
                  <c:v>83</c:v>
                </c:pt>
                <c:pt idx="66">
                  <c:v>113</c:v>
                </c:pt>
                <c:pt idx="67">
                  <c:v>108</c:v>
                </c:pt>
                <c:pt idx="68">
                  <c:v>91</c:v>
                </c:pt>
                <c:pt idx="69">
                  <c:v>96</c:v>
                </c:pt>
                <c:pt idx="70">
                  <c:v>109</c:v>
                </c:pt>
                <c:pt idx="71">
                  <c:v>109</c:v>
                </c:pt>
                <c:pt idx="72">
                  <c:v>77</c:v>
                </c:pt>
                <c:pt idx="73">
                  <c:v>107</c:v>
                </c:pt>
                <c:pt idx="74">
                  <c:v>103</c:v>
                </c:pt>
                <c:pt idx="75">
                  <c:v>97</c:v>
                </c:pt>
                <c:pt idx="76">
                  <c:v>131</c:v>
                </c:pt>
                <c:pt idx="77">
                  <c:v>90</c:v>
                </c:pt>
                <c:pt idx="78">
                  <c:v>108</c:v>
                </c:pt>
                <c:pt idx="79">
                  <c:v>102</c:v>
                </c:pt>
                <c:pt idx="80">
                  <c:v>118</c:v>
                </c:pt>
                <c:pt idx="81">
                  <c:v>85</c:v>
                </c:pt>
                <c:pt idx="82">
                  <c:v>110</c:v>
                </c:pt>
                <c:pt idx="83">
                  <c:v>98</c:v>
                </c:pt>
                <c:pt idx="84">
                  <c:v>92</c:v>
                </c:pt>
                <c:pt idx="85">
                  <c:v>97</c:v>
                </c:pt>
                <c:pt idx="86">
                  <c:v>78</c:v>
                </c:pt>
                <c:pt idx="87">
                  <c:v>84</c:v>
                </c:pt>
                <c:pt idx="88">
                  <c:v>69</c:v>
                </c:pt>
                <c:pt idx="89">
                  <c:v>103</c:v>
                </c:pt>
                <c:pt idx="90">
                  <c:v>101</c:v>
                </c:pt>
                <c:pt idx="91">
                  <c:v>114</c:v>
                </c:pt>
                <c:pt idx="92">
                  <c:v>93</c:v>
                </c:pt>
                <c:pt idx="93">
                  <c:v>106</c:v>
                </c:pt>
                <c:pt idx="94">
                  <c:v>107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B-447E-AB6E-60044E8C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78088"/>
        <c:axId val="1069578448"/>
      </c:scatterChart>
      <c:valAx>
        <c:axId val="1069578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8448"/>
        <c:crosses val="autoZero"/>
        <c:crossBetween val="midCat"/>
      </c:valAx>
      <c:valAx>
        <c:axId val="1069578448"/>
        <c:scaling>
          <c:orientation val="minMax"/>
          <c:max val="135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8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90754221760016"/>
          <c:y val="0.17693503621202769"/>
          <c:w val="0.80077100425339909"/>
          <c:h val="0.6116239838902396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Shooting!$J$2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Shooting!$L$1:$S$1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Shooting!$L$2:$S$2</c:f>
              <c:numCache>
                <c:formatCode>General</c:formatCode>
                <c:ptCount val="8"/>
                <c:pt idx="0">
                  <c:v>100.25</c:v>
                </c:pt>
                <c:pt idx="1">
                  <c:v>101</c:v>
                </c:pt>
                <c:pt idx="2">
                  <c:v>105.66666666666667</c:v>
                </c:pt>
                <c:pt idx="3">
                  <c:v>96.25</c:v>
                </c:pt>
                <c:pt idx="4">
                  <c:v>81.2</c:v>
                </c:pt>
                <c:pt idx="5">
                  <c:v>117.75</c:v>
                </c:pt>
                <c:pt idx="6">
                  <c:v>87</c:v>
                </c:pt>
                <c:pt idx="7">
                  <c:v>107.25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AB-4499-ADAC-5B689008F75D}"/>
            </c:ext>
          </c:extLst>
        </c:ser>
        <c:ser>
          <c:idx val="1"/>
          <c:order val="1"/>
          <c:tx>
            <c:strRef>
              <c:f>Shooting!$J$3</c:f>
              <c:strCache>
                <c:ptCount val="1"/>
                <c:pt idx="0">
                  <c:v>0.75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Shooting!$L$1:$S$1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Shooting!$L$3:$S$3</c:f>
              <c:numCache>
                <c:formatCode>General</c:formatCode>
                <c:ptCount val="8"/>
                <c:pt idx="0">
                  <c:v>90.6</c:v>
                </c:pt>
                <c:pt idx="1">
                  <c:v>100.75</c:v>
                </c:pt>
                <c:pt idx="2">
                  <c:v>100.33333333333333</c:v>
                </c:pt>
                <c:pt idx="3">
                  <c:v>82</c:v>
                </c:pt>
                <c:pt idx="4">
                  <c:v>94.2</c:v>
                </c:pt>
                <c:pt idx="5">
                  <c:v>110.66666666666667</c:v>
                </c:pt>
                <c:pt idx="6">
                  <c:v>110.6</c:v>
                </c:pt>
                <c:pt idx="7">
                  <c:v>103.75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BAB-4499-ADAC-5B689008F75D}"/>
            </c:ext>
          </c:extLst>
        </c:ser>
        <c:ser>
          <c:idx val="2"/>
          <c:order val="2"/>
          <c:tx>
            <c:strRef>
              <c:f>Shooting!$J$4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Shooting!$L$1:$S$1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Shooting!$L$4:$S$4</c:f>
              <c:numCache>
                <c:formatCode>General</c:formatCode>
                <c:ptCount val="8"/>
                <c:pt idx="0">
                  <c:v>97.25</c:v>
                </c:pt>
                <c:pt idx="1">
                  <c:v>98.8</c:v>
                </c:pt>
                <c:pt idx="2">
                  <c:v>99.75</c:v>
                </c:pt>
                <c:pt idx="3">
                  <c:v>92.75</c:v>
                </c:pt>
                <c:pt idx="4">
                  <c:v>94.5</c:v>
                </c:pt>
                <c:pt idx="5">
                  <c:v>106.75</c:v>
                </c:pt>
                <c:pt idx="6">
                  <c:v>104.25</c:v>
                </c:pt>
                <c:pt idx="7">
                  <c:v>101.75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BAB-4499-ADAC-5B689008F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253119"/>
        <c:axId val="1001243519"/>
      </c:scatterChart>
      <c:valAx>
        <c:axId val="10012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43519"/>
        <c:crosses val="autoZero"/>
        <c:crossBetween val="midCat"/>
      </c:valAx>
      <c:valAx>
        <c:axId val="1001243519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Distance, 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53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30048916841367"/>
          <c:y val="0.5130343391666482"/>
          <c:w val="0.20385382059800664"/>
          <c:h val="0.2415044190280579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Standard Deviation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90754221760016"/>
          <c:y val="0.17693503621202769"/>
          <c:w val="0.80077100425339909"/>
          <c:h val="0.6116239838902396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Shooting!$J$2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Shooting!$U$1:$AB$1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Shooting!$U$2:$AB$2</c:f>
              <c:numCache>
                <c:formatCode>General</c:formatCode>
                <c:ptCount val="8"/>
                <c:pt idx="0">
                  <c:v>10.436314802968846</c:v>
                </c:pt>
                <c:pt idx="1">
                  <c:v>11.789826122551595</c:v>
                </c:pt>
                <c:pt idx="2">
                  <c:v>5.1316014394468841</c:v>
                </c:pt>
                <c:pt idx="3">
                  <c:v>10.781929326423912</c:v>
                </c:pt>
                <c:pt idx="4">
                  <c:v>20.179197209007121</c:v>
                </c:pt>
                <c:pt idx="5">
                  <c:v>13.720422734012244</c:v>
                </c:pt>
                <c:pt idx="6">
                  <c:v>20.73644135332772</c:v>
                </c:pt>
                <c:pt idx="7">
                  <c:v>10.07885575516057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5B-43E3-928B-2FDB6770BE4F}"/>
            </c:ext>
          </c:extLst>
        </c:ser>
        <c:ser>
          <c:idx val="1"/>
          <c:order val="1"/>
          <c:tx>
            <c:strRef>
              <c:f>Shooting!$J$3</c:f>
              <c:strCache>
                <c:ptCount val="1"/>
                <c:pt idx="0">
                  <c:v>0.75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Shooting!$U$1:$AB$1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Shooting!$U$3:$AB$3</c:f>
              <c:numCache>
                <c:formatCode>General</c:formatCode>
                <c:ptCount val="8"/>
                <c:pt idx="0">
                  <c:v>10.16366075781753</c:v>
                </c:pt>
                <c:pt idx="1">
                  <c:v>6.7019897542943667</c:v>
                </c:pt>
                <c:pt idx="2">
                  <c:v>17.473789896108226</c:v>
                </c:pt>
                <c:pt idx="3">
                  <c:v>15.556349186104045</c:v>
                </c:pt>
                <c:pt idx="4">
                  <c:v>10.305338422390601</c:v>
                </c:pt>
                <c:pt idx="5">
                  <c:v>7.2341781380702361</c:v>
                </c:pt>
                <c:pt idx="6">
                  <c:v>6.4265076052238514</c:v>
                </c:pt>
                <c:pt idx="7">
                  <c:v>11.786291472158096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5B-43E3-928B-2FDB6770BE4F}"/>
            </c:ext>
          </c:extLst>
        </c:ser>
        <c:ser>
          <c:idx val="2"/>
          <c:order val="2"/>
          <c:tx>
            <c:strRef>
              <c:f>Shooting!$J$4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Shooting!$U$1:$AB$1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Shooting!$U$4:$AB$4</c:f>
              <c:numCache>
                <c:formatCode>General</c:formatCode>
                <c:ptCount val="8"/>
                <c:pt idx="0">
                  <c:v>6.6017674401127868</c:v>
                </c:pt>
                <c:pt idx="1">
                  <c:v>13.553597308463932</c:v>
                </c:pt>
                <c:pt idx="2">
                  <c:v>10.90489186863706</c:v>
                </c:pt>
                <c:pt idx="3">
                  <c:v>23.471614061812335</c:v>
                </c:pt>
                <c:pt idx="4">
                  <c:v>12.261049438499681</c:v>
                </c:pt>
                <c:pt idx="5">
                  <c:v>5.6789083458002736</c:v>
                </c:pt>
                <c:pt idx="6">
                  <c:v>8.1802607945386843</c:v>
                </c:pt>
                <c:pt idx="7">
                  <c:v>19.517086531208154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5B-43E3-928B-2FDB6770B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253119"/>
        <c:axId val="1001243519"/>
      </c:scatterChart>
      <c:valAx>
        <c:axId val="10012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43519"/>
        <c:crosses val="autoZero"/>
        <c:crossBetween val="midCat"/>
      </c:valAx>
      <c:valAx>
        <c:axId val="1001243519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Distance, 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53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696016771488476"/>
          <c:y val="0.21249761009256501"/>
          <c:w val="0.18274350488797597"/>
          <c:h val="0.25581569184110958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Standard Dev of Distance Across Positions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Shooting!$J$2:$J$4</c:f>
              <c:numCache>
                <c:formatCode>General</c:formatCode>
                <c:ptCount val="3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</c:numCache>
            </c:numRef>
          </c:xVal>
          <c:yVal>
            <c:numRef>
              <c:f>Shooting!$T$2:$T$4</c:f>
              <c:numCache>
                <c:formatCode>General</c:formatCode>
                <c:ptCount val="3"/>
                <c:pt idx="0">
                  <c:v>17.139026709797129</c:v>
                </c:pt>
                <c:pt idx="1">
                  <c:v>12.556453166759804</c:v>
                </c:pt>
                <c:pt idx="2">
                  <c:v>12.980973839361281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C4-4457-B94B-BE66A558B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135887"/>
        <c:axId val="799138287"/>
      </c:scatterChart>
      <c:valAx>
        <c:axId val="799135887"/>
        <c:scaling>
          <c:orientation val="minMax"/>
          <c:min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138287"/>
        <c:crosses val="autoZero"/>
        <c:crossBetween val="midCat"/>
      </c:valAx>
      <c:valAx>
        <c:axId val="79913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13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ShootSpeed!$M$2:$M$6</c:f>
                <c:numCache>
                  <c:formatCode>General</c:formatCode>
                  <c:ptCount val="5"/>
                  <c:pt idx="0">
                    <c:v>3.5220448605888062</c:v>
                  </c:pt>
                  <c:pt idx="1">
                    <c:v>1.7922372291954711</c:v>
                  </c:pt>
                  <c:pt idx="2">
                    <c:v>2.3981778797364357</c:v>
                  </c:pt>
                  <c:pt idx="3">
                    <c:v>2.3320438613860963</c:v>
                  </c:pt>
                  <c:pt idx="4">
                    <c:v>1.0160380570300189</c:v>
                  </c:pt>
                </c:numCache>
              </c:numRef>
            </c:plus>
            <c:minus>
              <c:numRef>
                <c:f>ShootSpeed!$M$2:$M$6</c:f>
                <c:numCache>
                  <c:formatCode>General</c:formatCode>
                  <c:ptCount val="5"/>
                  <c:pt idx="0">
                    <c:v>3.5220448605888062</c:v>
                  </c:pt>
                  <c:pt idx="1">
                    <c:v>1.7922372291954711</c:v>
                  </c:pt>
                  <c:pt idx="2">
                    <c:v>2.3981778797364357</c:v>
                  </c:pt>
                  <c:pt idx="3">
                    <c:v>2.3320438613860963</c:v>
                  </c:pt>
                  <c:pt idx="4">
                    <c:v>1.0160380570300189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ShootSpeed!$K$2:$K$6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ShootSpeed!$L$2:$L$6</c:f>
              <c:numCache>
                <c:formatCode>General</c:formatCode>
                <c:ptCount val="5"/>
                <c:pt idx="0">
                  <c:v>17.02</c:v>
                </c:pt>
                <c:pt idx="1">
                  <c:v>11.141428571428573</c:v>
                </c:pt>
                <c:pt idx="2">
                  <c:v>10.957142857142857</c:v>
                </c:pt>
                <c:pt idx="3">
                  <c:v>9.0457142857142863</c:v>
                </c:pt>
                <c:pt idx="4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59-4ACE-AD8A-D2472F7B6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6249336"/>
        <c:axId val="1056249696"/>
      </c:scatterChart>
      <c:valAx>
        <c:axId val="1056249336"/>
        <c:scaling>
          <c:orientation val="minMax"/>
          <c:max val="1.1100000000000001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249696"/>
        <c:crosses val="autoZero"/>
        <c:crossBetween val="midCat"/>
      </c:valAx>
      <c:valAx>
        <c:axId val="105624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249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ShootSpeed!$B$2:$B$32</c:f>
              <c:numCache>
                <c:formatCode>General</c:formatCode>
                <c:ptCount val="31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</c:numCache>
            </c:numRef>
          </c:xVal>
          <c:yVal>
            <c:numRef>
              <c:f>ShootSpeed!$E$2:$E$32</c:f>
              <c:numCache>
                <c:formatCode>General</c:formatCode>
                <c:ptCount val="31"/>
                <c:pt idx="0">
                  <c:v>7.95</c:v>
                </c:pt>
                <c:pt idx="1">
                  <c:v>10.09</c:v>
                </c:pt>
                <c:pt idx="2">
                  <c:v>12.03</c:v>
                </c:pt>
                <c:pt idx="3">
                  <c:v>14.74</c:v>
                </c:pt>
                <c:pt idx="4">
                  <c:v>13.07</c:v>
                </c:pt>
                <c:pt idx="5">
                  <c:v>9.42</c:v>
                </c:pt>
                <c:pt idx="6">
                  <c:v>9.4</c:v>
                </c:pt>
                <c:pt idx="7">
                  <c:v>6.25</c:v>
                </c:pt>
                <c:pt idx="8">
                  <c:v>6.92</c:v>
                </c:pt>
                <c:pt idx="9">
                  <c:v>5.65</c:v>
                </c:pt>
                <c:pt idx="10">
                  <c:v>5.76</c:v>
                </c:pt>
                <c:pt idx="11">
                  <c:v>8.3800000000000008</c:v>
                </c:pt>
                <c:pt idx="12">
                  <c:v>7.78</c:v>
                </c:pt>
                <c:pt idx="13">
                  <c:v>6.93</c:v>
                </c:pt>
                <c:pt idx="14">
                  <c:v>6.08</c:v>
                </c:pt>
                <c:pt idx="15">
                  <c:v>8.02</c:v>
                </c:pt>
                <c:pt idx="16">
                  <c:v>6.43</c:v>
                </c:pt>
                <c:pt idx="17">
                  <c:v>11.79</c:v>
                </c:pt>
                <c:pt idx="18">
                  <c:v>9.7799999999999994</c:v>
                </c:pt>
                <c:pt idx="19">
                  <c:v>11.83</c:v>
                </c:pt>
                <c:pt idx="20">
                  <c:v>9.39</c:v>
                </c:pt>
                <c:pt idx="21">
                  <c:v>13.18</c:v>
                </c:pt>
                <c:pt idx="22">
                  <c:v>20.100000000000001</c:v>
                </c:pt>
                <c:pt idx="23">
                  <c:v>17.78</c:v>
                </c:pt>
                <c:pt idx="24">
                  <c:v>10.17</c:v>
                </c:pt>
                <c:pt idx="25">
                  <c:v>9.0500000000000007</c:v>
                </c:pt>
                <c:pt idx="26">
                  <c:v>12.41</c:v>
                </c:pt>
                <c:pt idx="27">
                  <c:v>14.09</c:v>
                </c:pt>
                <c:pt idx="28">
                  <c:v>9.89</c:v>
                </c:pt>
                <c:pt idx="29">
                  <c:v>10.17</c:v>
                </c:pt>
                <c:pt idx="30">
                  <c:v>12.21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F-4F80-A2BD-58BD9F90E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48208"/>
        <c:axId val="1069555408"/>
      </c:scatterChart>
      <c:valAx>
        <c:axId val="106954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55408"/>
        <c:crosses val="autoZero"/>
        <c:crossBetween val="midCat"/>
      </c:valAx>
      <c:valAx>
        <c:axId val="106955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4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</a:t>
            </a:r>
            <a:r>
              <a:rPr lang="en-US" baseline="0"/>
              <a:t> Speed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Summary'!$B$2</c:f>
              <c:strCache>
                <c:ptCount val="1"/>
                <c:pt idx="0">
                  <c:v>bpm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plus>
            <c:min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Summary'!$B$3:$B$7</c:f>
              <c:numCache>
                <c:formatCode>General</c:formatCode>
                <c:ptCount val="5"/>
                <c:pt idx="0">
                  <c:v>28.2021151586369</c:v>
                </c:pt>
                <c:pt idx="1">
                  <c:v>43.082446467495828</c:v>
                </c:pt>
                <c:pt idx="2">
                  <c:v>43.807040417209905</c:v>
                </c:pt>
                <c:pt idx="3">
                  <c:v>53.063802905874915</c:v>
                </c:pt>
                <c:pt idx="4">
                  <c:v>70.48458149779735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B-4054-AFFE-F1DC91BC8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470928"/>
        <c:axId val="995470568"/>
      </c:scatterChart>
      <c:valAx>
        <c:axId val="99547092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568"/>
        <c:crosses val="autoZero"/>
        <c:crossBetween val="midCat"/>
      </c:valAx>
      <c:valAx>
        <c:axId val="995470568"/>
        <c:scaling>
          <c:orientation val="minMax"/>
          <c:max val="9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Successful Delivery Rate</a:t>
            </a:r>
          </a:p>
          <a:p>
            <a:pPr>
              <a:defRPr/>
            </a:pPr>
            <a:r>
              <a:rPr lang="en-US"/>
              <a:t>Continuous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Summary'!$G$2</c:f>
              <c:strCache>
                <c:ptCount val="1"/>
                <c:pt idx="0">
                  <c:v>bpm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plus>
            <c:min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Summary'!$G$3:$G$7</c:f>
              <c:numCache>
                <c:formatCode>General</c:formatCode>
                <c:ptCount val="5"/>
                <c:pt idx="0">
                  <c:v>27.182300002028853</c:v>
                </c:pt>
                <c:pt idx="1">
                  <c:v>41.037792590157991</c:v>
                </c:pt>
                <c:pt idx="2">
                  <c:v>40.411629971467349</c:v>
                </c:pt>
                <c:pt idx="3">
                  <c:v>45.179459072462883</c:v>
                </c:pt>
                <c:pt idx="4">
                  <c:v>53.778556289612531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0-49DA-8397-514469366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470928"/>
        <c:axId val="995470568"/>
      </c:scatterChart>
      <c:valAx>
        <c:axId val="99547092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568"/>
        <c:crosses val="autoZero"/>
        <c:crossBetween val="midCat"/>
        <c:majorUnit val="0.1"/>
      </c:valAx>
      <c:valAx>
        <c:axId val="995470568"/>
        <c:scaling>
          <c:orientation val="minMax"/>
          <c:max val="9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Autonomous</a:t>
            </a:r>
            <a:r>
              <a:rPr lang="en-US" baseline="0"/>
              <a:t> </a:t>
            </a:r>
          </a:p>
          <a:p>
            <a:pPr>
              <a:defRPr/>
            </a:pPr>
            <a:r>
              <a:rPr lang="en-US"/>
              <a:t>Probability</a:t>
            </a:r>
            <a:r>
              <a:rPr lang="en-US" baseline="0"/>
              <a:t> of Delivering 8 Balls</a:t>
            </a:r>
            <a:endParaRPr lang="en-US"/>
          </a:p>
        </c:rich>
      </c:tx>
      <c:layout>
        <c:manualLayout>
          <c:xMode val="edge"/>
          <c:yMode val="edge"/>
          <c:x val="0.2168649432260332"/>
          <c:y val="5.5555432331521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Summary'!$T$3:$T$7</c:f>
              <c:numCache>
                <c:formatCode>0%</c:formatCode>
                <c:ptCount val="5"/>
                <c:pt idx="0">
                  <c:v>1.0426014367353909E-2</c:v>
                </c:pt>
                <c:pt idx="1">
                  <c:v>0.56374175516638803</c:v>
                </c:pt>
                <c:pt idx="2">
                  <c:v>0.44895810295391736</c:v>
                </c:pt>
                <c:pt idx="3">
                  <c:v>0.25395736171909966</c:v>
                </c:pt>
                <c:pt idx="4">
                  <c:v>0.12287387076067158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FB-4346-8CA1-41FAF578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73408"/>
        <c:axId val="1069573768"/>
      </c:scatterChart>
      <c:valAx>
        <c:axId val="106957340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3768"/>
        <c:crosses val="autoZero"/>
        <c:crossBetween val="midCat"/>
      </c:valAx>
      <c:valAx>
        <c:axId val="10695737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</a:t>
            </a:r>
            <a:r>
              <a:rPr lang="en-US" baseline="0"/>
              <a:t> Distance</a:t>
            </a:r>
            <a:endParaRPr lang="en-US"/>
          </a:p>
        </c:rich>
      </c:tx>
      <c:layout>
        <c:manualLayout>
          <c:xMode val="edge"/>
          <c:yMode val="edge"/>
          <c:x val="0.3285345581802274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Summary'!$E$3:$E$7</c:f>
                <c:numCache>
                  <c:formatCode>General</c:formatCode>
                  <c:ptCount val="5"/>
                  <c:pt idx="0">
                    <c:v>10.207086527732368</c:v>
                  </c:pt>
                  <c:pt idx="1">
                    <c:v>10.788626455779969</c:v>
                  </c:pt>
                  <c:pt idx="2">
                    <c:v>12.113882690787202</c:v>
                  </c:pt>
                  <c:pt idx="3">
                    <c:v>14.803845654215872</c:v>
                  </c:pt>
                  <c:pt idx="4">
                    <c:v>18.084927851241634</c:v>
                  </c:pt>
                </c:numCache>
              </c:numRef>
            </c:plus>
            <c:minus>
              <c:numRef>
                <c:f>'Data Summary'!$E$3:$E$7</c:f>
                <c:numCache>
                  <c:formatCode>General</c:formatCode>
                  <c:ptCount val="5"/>
                  <c:pt idx="0">
                    <c:v>10.207086527732368</c:v>
                  </c:pt>
                  <c:pt idx="1">
                    <c:v>10.788626455779969</c:v>
                  </c:pt>
                  <c:pt idx="2">
                    <c:v>12.113882690787202</c:v>
                  </c:pt>
                  <c:pt idx="3">
                    <c:v>14.803845654215872</c:v>
                  </c:pt>
                  <c:pt idx="4">
                    <c:v>18.084927851241634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Summary'!$D$3:$D$7</c:f>
              <c:numCache>
                <c:formatCode>General</c:formatCode>
                <c:ptCount val="5"/>
                <c:pt idx="0">
                  <c:v>67.769230769230774</c:v>
                </c:pt>
                <c:pt idx="1">
                  <c:v>68.5311004784689</c:v>
                </c:pt>
                <c:pt idx="2">
                  <c:v>65.115384615384613</c:v>
                </c:pt>
                <c:pt idx="3">
                  <c:v>56.666666666666664</c:v>
                </c:pt>
                <c:pt idx="4">
                  <c:v>41.769230769230766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BC-43FD-A6C6-FAE93CCFF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5035368"/>
        <c:axId val="840042616"/>
      </c:scatterChart>
      <c:valAx>
        <c:axId val="66503536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0042616"/>
        <c:crosses val="autoZero"/>
        <c:crossBetween val="midCat"/>
      </c:valAx>
      <c:valAx>
        <c:axId val="84004261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35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Shot Probability of Success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Summary'!$F$3:$F$7</c:f>
              <c:numCache>
                <c:formatCode>0.0%</c:formatCode>
                <c:ptCount val="5"/>
                <c:pt idx="0">
                  <c:v>0.96383905423860639</c:v>
                </c:pt>
                <c:pt idx="1">
                  <c:v>0.95254090598405416</c:v>
                </c:pt>
                <c:pt idx="2">
                  <c:v>0.92249167226534112</c:v>
                </c:pt>
                <c:pt idx="3">
                  <c:v>0.85141766323462797</c:v>
                </c:pt>
                <c:pt idx="4">
                  <c:v>0.76298326735887789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6D-478D-A76B-C174C3CBB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733647"/>
        <c:axId val="1798726447"/>
      </c:scatterChart>
      <c:valAx>
        <c:axId val="1798733647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6447"/>
        <c:crosses val="autoZero"/>
        <c:crossBetween val="midCat"/>
        <c:majorUnit val="0.1"/>
      </c:valAx>
      <c:valAx>
        <c:axId val="1798726447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3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Autonomous</a:t>
            </a:r>
          </a:p>
          <a:p>
            <a:pPr>
              <a:defRPr/>
            </a:pPr>
            <a:r>
              <a:rPr lang="en-US"/>
              <a:t>Chance of Delivering Successfully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7714546723556"/>
          <c:y val="0.2626910093785767"/>
          <c:w val="0.76342497828226019"/>
          <c:h val="0.51331654051693265"/>
        </c:manualLayout>
      </c:layout>
      <c:scatterChart>
        <c:scatterStyle val="lineMarker"/>
        <c:varyColors val="0"/>
        <c:ser>
          <c:idx val="0"/>
          <c:order val="0"/>
          <c:tx>
            <c:v>0.4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Summary'!$P$3:$T$3</c:f>
              <c:numCache>
                <c:formatCode>0%</c:formatCode>
                <c:ptCount val="5"/>
                <c:pt idx="0">
                  <c:v>0.95776489564622558</c:v>
                </c:pt>
                <c:pt idx="1">
                  <c:v>0.76310469259575797</c:v>
                </c:pt>
                <c:pt idx="2">
                  <c:v>0.38488812450584486</c:v>
                </c:pt>
                <c:pt idx="3">
                  <c:v>9.6516268768836566E-2</c:v>
                </c:pt>
                <c:pt idx="4">
                  <c:v>1.0426014367353909E-2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A7-4E70-B359-34E971E449B7}"/>
            </c:ext>
          </c:extLst>
        </c:ser>
        <c:ser>
          <c:idx val="1"/>
          <c:order val="1"/>
          <c:tx>
            <c:v>0.5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Summary'!$P$4:$T$4</c:f>
              <c:numCache>
                <c:formatCode>0%</c:formatCode>
                <c:ptCount val="5"/>
                <c:pt idx="0">
                  <c:v>0.99999998042874794</c:v>
                </c:pt>
                <c:pt idx="1">
                  <c:v>0.99998416573569204</c:v>
                </c:pt>
                <c:pt idx="2">
                  <c:v>0.99765486328282693</c:v>
                </c:pt>
                <c:pt idx="3">
                  <c:v>0.93241434778982812</c:v>
                </c:pt>
                <c:pt idx="4">
                  <c:v>0.56374175516638803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A7-4E70-B359-34E971E449B7}"/>
            </c:ext>
          </c:extLst>
        </c:ser>
        <c:ser>
          <c:idx val="2"/>
          <c:order val="2"/>
          <c:tx>
            <c:v>0.6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Summary'!$P$5:$T$5</c:f>
              <c:numCache>
                <c:formatCode>0%</c:formatCode>
                <c:ptCount val="5"/>
                <c:pt idx="0">
                  <c:v>0.99998306884080768</c:v>
                </c:pt>
                <c:pt idx="1">
                  <c:v>0.99895550363432284</c:v>
                </c:pt>
                <c:pt idx="2">
                  <c:v>0.9777184389137954</c:v>
                </c:pt>
                <c:pt idx="3">
                  <c:v>0.82645031316347495</c:v>
                </c:pt>
                <c:pt idx="4">
                  <c:v>0.44895810295391736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A7-4E70-B359-34E971E449B7}"/>
            </c:ext>
          </c:extLst>
        </c:ser>
        <c:ser>
          <c:idx val="3"/>
          <c:order val="3"/>
          <c:tx>
            <c:v>0.75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Summary'!$P$6:$T$6</c:f>
              <c:numCache>
                <c:formatCode>0%</c:formatCode>
                <c:ptCount val="5"/>
                <c:pt idx="0">
                  <c:v>0.99927266981581164</c:v>
                </c:pt>
                <c:pt idx="1">
                  <c:v>0.98686384629681678</c:v>
                </c:pt>
                <c:pt idx="2">
                  <c:v>0.89629977543798078</c:v>
                </c:pt>
                <c:pt idx="3">
                  <c:v>0.61765541546167335</c:v>
                </c:pt>
                <c:pt idx="4">
                  <c:v>0.25395736171909966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A7-4E70-B359-34E971E449B7}"/>
            </c:ext>
          </c:extLst>
        </c:ser>
        <c:ser>
          <c:idx val="4"/>
          <c:order val="4"/>
          <c:tx>
            <c:v>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Summary'!$P$7:$T$7</c:f>
              <c:numCache>
                <c:formatCode>0%</c:formatCode>
                <c:ptCount val="5"/>
                <c:pt idx="0">
                  <c:v>0.98480015509750729</c:v>
                </c:pt>
                <c:pt idx="1">
                  <c:v>0.90880750490873041</c:v>
                </c:pt>
                <c:pt idx="2">
                  <c:v>0.69218443980071798</c:v>
                </c:pt>
                <c:pt idx="3">
                  <c:v>0.37094784017606774</c:v>
                </c:pt>
                <c:pt idx="4">
                  <c:v>0.12287387076067158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A7-4E70-B359-34E971E44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725487"/>
        <c:axId val="1798721647"/>
      </c:scatterChart>
      <c:valAx>
        <c:axId val="1798725487"/>
        <c:scaling>
          <c:orientation val="minMax"/>
          <c:max val="8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 Least This Many</a:t>
                </a:r>
                <a:r>
                  <a:rPr lang="en-US" baseline="0"/>
                  <a:t> Balls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0292116940690825"/>
              <c:y val="0.82991432304054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1647"/>
        <c:crosses val="autoZero"/>
        <c:crossBetween val="midCat"/>
        <c:majorUnit val="1"/>
      </c:valAx>
      <c:valAx>
        <c:axId val="17987216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Chance of Success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5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446515663452939"/>
          <c:y val="0.89878726749215632"/>
          <c:w val="0.71140005250677141"/>
          <c:h val="8.181878570986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Intake/Launch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'Motor k'!$J$3:$J$12</c:f>
              <c:numCache>
                <c:formatCode>General</c:formatCode>
                <c:ptCount val="10"/>
                <c:pt idx="0">
                  <c:v>-0.4</c:v>
                </c:pt>
                <c:pt idx="1">
                  <c:v>-0.6</c:v>
                </c:pt>
                <c:pt idx="2">
                  <c:v>-0.8</c:v>
                </c:pt>
                <c:pt idx="3">
                  <c:v>-0.9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</c:numCache>
            </c:numRef>
          </c:xVal>
          <c:yVal>
            <c:numRef>
              <c:f>'Motor k'!$L$3:$L$12</c:f>
              <c:numCache>
                <c:formatCode>General</c:formatCode>
                <c:ptCount val="10"/>
                <c:pt idx="0">
                  <c:v>687</c:v>
                </c:pt>
                <c:pt idx="1">
                  <c:v>1112</c:v>
                </c:pt>
                <c:pt idx="2">
                  <c:v>1550</c:v>
                </c:pt>
                <c:pt idx="3">
                  <c:v>1740</c:v>
                </c:pt>
                <c:pt idx="4">
                  <c:v>1888</c:v>
                </c:pt>
                <c:pt idx="5">
                  <c:v>1900</c:v>
                </c:pt>
                <c:pt idx="6">
                  <c:v>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E-4A99-8E9A-F566998590F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'Motor k'!$J$3:$J$12</c:f>
              <c:numCache>
                <c:formatCode>General</c:formatCode>
                <c:ptCount val="10"/>
                <c:pt idx="0">
                  <c:v>-0.4</c:v>
                </c:pt>
                <c:pt idx="1">
                  <c:v>-0.6</c:v>
                </c:pt>
                <c:pt idx="2">
                  <c:v>-0.8</c:v>
                </c:pt>
                <c:pt idx="3">
                  <c:v>-0.9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</c:numCache>
            </c:numRef>
          </c:xVal>
          <c:yVal>
            <c:numRef>
              <c:f>'Motor k'!$M$3:$M$12</c:f>
              <c:numCache>
                <c:formatCode>General</c:formatCode>
                <c:ptCount val="10"/>
                <c:pt idx="0">
                  <c:v>1385</c:v>
                </c:pt>
                <c:pt idx="1">
                  <c:v>2242</c:v>
                </c:pt>
                <c:pt idx="2">
                  <c:v>3115</c:v>
                </c:pt>
                <c:pt idx="3">
                  <c:v>3505</c:v>
                </c:pt>
                <c:pt idx="4">
                  <c:v>3790</c:v>
                </c:pt>
                <c:pt idx="5">
                  <c:v>3790</c:v>
                </c:pt>
                <c:pt idx="6">
                  <c:v>3808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1E-4A99-8E9A-F56699859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685231"/>
        <c:axId val="968682351"/>
      </c:scatterChart>
      <c:valAx>
        <c:axId val="96868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2351"/>
        <c:crosses val="autoZero"/>
        <c:crossBetween val="midCat"/>
      </c:valAx>
      <c:valAx>
        <c:axId val="9686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5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Intake/Launch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'Motor k'!$I$3:$I$12</c:f>
              <c:numCache>
                <c:formatCode>General</c:formatCode>
                <c:ptCount val="10"/>
                <c:pt idx="0">
                  <c:v>0.4</c:v>
                </c:pt>
                <c:pt idx="1">
                  <c:v>0.6</c:v>
                </c:pt>
                <c:pt idx="2">
                  <c:v>0.8</c:v>
                </c:pt>
                <c:pt idx="3">
                  <c:v>0.9</c:v>
                </c:pt>
                <c:pt idx="4">
                  <c:v>1</c:v>
                </c:pt>
                <c:pt idx="5">
                  <c:v>0.6</c:v>
                </c:pt>
                <c:pt idx="6">
                  <c:v>0.8</c:v>
                </c:pt>
                <c:pt idx="7">
                  <c:v>0.5</c:v>
                </c:pt>
              </c:numCache>
            </c:numRef>
          </c:xVal>
          <c:yVal>
            <c:numRef>
              <c:f>'Motor k'!$N$3:$N$12</c:f>
              <c:numCache>
                <c:formatCode>General</c:formatCode>
                <c:ptCount val="10"/>
                <c:pt idx="0">
                  <c:v>199</c:v>
                </c:pt>
                <c:pt idx="1">
                  <c:v>314</c:v>
                </c:pt>
                <c:pt idx="2">
                  <c:v>430</c:v>
                </c:pt>
                <c:pt idx="3">
                  <c:v>484</c:v>
                </c:pt>
                <c:pt idx="4">
                  <c:v>544</c:v>
                </c:pt>
                <c:pt idx="5">
                  <c:v>313</c:v>
                </c:pt>
                <c:pt idx="6">
                  <c:v>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8A4-9872-58448509C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685231"/>
        <c:axId val="968682351"/>
      </c:scatterChart>
      <c:valAx>
        <c:axId val="96868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2351"/>
        <c:crosses val="autoZero"/>
        <c:crossBetween val="midCat"/>
      </c:valAx>
      <c:valAx>
        <c:axId val="9686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5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'Motor k'!$A$3:$A$12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'Motor k'!$F$3:$F$12</c:f>
              <c:numCache>
                <c:formatCode>General</c:formatCode>
                <c:ptCount val="10"/>
                <c:pt idx="0">
                  <c:v>3.9898226700590365</c:v>
                </c:pt>
                <c:pt idx="1">
                  <c:v>19.792033717615698</c:v>
                </c:pt>
                <c:pt idx="2">
                  <c:v>36.929421642948014</c:v>
                </c:pt>
                <c:pt idx="3">
                  <c:v>53.564154743705977</c:v>
                </c:pt>
                <c:pt idx="4">
                  <c:v>70.685834705770347</c:v>
                </c:pt>
                <c:pt idx="5">
                  <c:v>88.278753565873188</c:v>
                </c:pt>
                <c:pt idx="6">
                  <c:v>105.62034501368883</c:v>
                </c:pt>
                <c:pt idx="7">
                  <c:v>122.19224626137499</c:v>
                </c:pt>
                <c:pt idx="8">
                  <c:v>139.64379345206632</c:v>
                </c:pt>
                <c:pt idx="9">
                  <c:v>156.76547341413067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23-48F9-BB22-E1FA10261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96959"/>
        <c:axId val="1001196479"/>
      </c:scatterChart>
      <c:valAx>
        <c:axId val="1001196959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96479"/>
        <c:crosses val="autoZero"/>
        <c:crossBetween val="midCat"/>
      </c:valAx>
      <c:valAx>
        <c:axId val="100119647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96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Drive/Turn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DriveDist!$B$16:$B$438</c:f>
              <c:numCache>
                <c:formatCode>General</c:formatCode>
                <c:ptCount val="4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90</c:v>
                </c:pt>
                <c:pt idx="111">
                  <c:v>90</c:v>
                </c:pt>
                <c:pt idx="112">
                  <c:v>90</c:v>
                </c:pt>
                <c:pt idx="113">
                  <c:v>90</c:v>
                </c:pt>
                <c:pt idx="114">
                  <c:v>180</c:v>
                </c:pt>
                <c:pt idx="115">
                  <c:v>180</c:v>
                </c:pt>
                <c:pt idx="116">
                  <c:v>180</c:v>
                </c:pt>
                <c:pt idx="117">
                  <c:v>180</c:v>
                </c:pt>
                <c:pt idx="118">
                  <c:v>270</c:v>
                </c:pt>
                <c:pt idx="119">
                  <c:v>270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-25</c:v>
                </c:pt>
                <c:pt idx="124">
                  <c:v>140</c:v>
                </c:pt>
                <c:pt idx="125">
                  <c:v>140</c:v>
                </c:pt>
                <c:pt idx="126">
                  <c:v>140</c:v>
                </c:pt>
                <c:pt idx="127">
                  <c:v>140</c:v>
                </c:pt>
                <c:pt idx="128">
                  <c:v>140</c:v>
                </c:pt>
                <c:pt idx="129">
                  <c:v>140</c:v>
                </c:pt>
                <c:pt idx="130">
                  <c:v>140</c:v>
                </c:pt>
                <c:pt idx="131">
                  <c:v>140</c:v>
                </c:pt>
                <c:pt idx="132">
                  <c:v>140</c:v>
                </c:pt>
                <c:pt idx="133">
                  <c:v>140</c:v>
                </c:pt>
                <c:pt idx="134">
                  <c:v>90</c:v>
                </c:pt>
                <c:pt idx="135">
                  <c:v>90</c:v>
                </c:pt>
                <c:pt idx="136">
                  <c:v>90</c:v>
                </c:pt>
                <c:pt idx="137">
                  <c:v>90</c:v>
                </c:pt>
                <c:pt idx="138">
                  <c:v>90</c:v>
                </c:pt>
                <c:pt idx="139">
                  <c:v>180</c:v>
                </c:pt>
                <c:pt idx="140">
                  <c:v>180</c:v>
                </c:pt>
                <c:pt idx="141">
                  <c:v>180</c:v>
                </c:pt>
                <c:pt idx="142">
                  <c:v>180</c:v>
                </c:pt>
                <c:pt idx="143">
                  <c:v>180</c:v>
                </c:pt>
                <c:pt idx="144">
                  <c:v>180</c:v>
                </c:pt>
                <c:pt idx="145">
                  <c:v>90</c:v>
                </c:pt>
                <c:pt idx="146">
                  <c:v>90</c:v>
                </c:pt>
                <c:pt idx="147">
                  <c:v>90</c:v>
                </c:pt>
                <c:pt idx="148">
                  <c:v>140</c:v>
                </c:pt>
                <c:pt idx="149">
                  <c:v>140</c:v>
                </c:pt>
                <c:pt idx="150">
                  <c:v>140</c:v>
                </c:pt>
                <c:pt idx="151">
                  <c:v>140</c:v>
                </c:pt>
                <c:pt idx="152">
                  <c:v>140</c:v>
                </c:pt>
                <c:pt idx="153">
                  <c:v>140</c:v>
                </c:pt>
                <c:pt idx="154">
                  <c:v>90</c:v>
                </c:pt>
                <c:pt idx="155">
                  <c:v>90</c:v>
                </c:pt>
                <c:pt idx="156">
                  <c:v>90</c:v>
                </c:pt>
                <c:pt idx="157">
                  <c:v>90</c:v>
                </c:pt>
                <c:pt idx="158">
                  <c:v>180</c:v>
                </c:pt>
                <c:pt idx="159">
                  <c:v>180</c:v>
                </c:pt>
                <c:pt idx="160">
                  <c:v>180</c:v>
                </c:pt>
              </c:numCache>
            </c:numRef>
          </c:xVal>
          <c:yVal>
            <c:numRef>
              <c:f>DriveDist!$J$16:$J$438</c:f>
              <c:numCache>
                <c:formatCode>General</c:formatCode>
                <c:ptCount val="423"/>
                <c:pt idx="0">
                  <c:v>2</c:v>
                </c:pt>
                <c:pt idx="1">
                  <c:v>1.25</c:v>
                </c:pt>
                <c:pt idx="2">
                  <c:v>1.5</c:v>
                </c:pt>
                <c:pt idx="3">
                  <c:v>1.25</c:v>
                </c:pt>
                <c:pt idx="4">
                  <c:v>-2.5</c:v>
                </c:pt>
                <c:pt idx="5">
                  <c:v>-2</c:v>
                </c:pt>
                <c:pt idx="6">
                  <c:v>-2.5</c:v>
                </c:pt>
                <c:pt idx="7">
                  <c:v>-2</c:v>
                </c:pt>
                <c:pt idx="8">
                  <c:v>7</c:v>
                </c:pt>
                <c:pt idx="9">
                  <c:v>7</c:v>
                </c:pt>
                <c:pt idx="10">
                  <c:v>7.25</c:v>
                </c:pt>
                <c:pt idx="11">
                  <c:v>8.5</c:v>
                </c:pt>
                <c:pt idx="12">
                  <c:v>6.5</c:v>
                </c:pt>
                <c:pt idx="13">
                  <c:v>7</c:v>
                </c:pt>
                <c:pt idx="14">
                  <c:v>8</c:v>
                </c:pt>
                <c:pt idx="15">
                  <c:v>17</c:v>
                </c:pt>
                <c:pt idx="16">
                  <c:v>14.5</c:v>
                </c:pt>
                <c:pt idx="17">
                  <c:v>14</c:v>
                </c:pt>
                <c:pt idx="18">
                  <c:v>14.5</c:v>
                </c:pt>
                <c:pt idx="19">
                  <c:v>2.5</c:v>
                </c:pt>
                <c:pt idx="20">
                  <c:v>0</c:v>
                </c:pt>
                <c:pt idx="21">
                  <c:v>-0.5</c:v>
                </c:pt>
                <c:pt idx="22">
                  <c:v>-1.5</c:v>
                </c:pt>
                <c:pt idx="23">
                  <c:v>-3</c:v>
                </c:pt>
                <c:pt idx="24">
                  <c:v>-2.5</c:v>
                </c:pt>
                <c:pt idx="25">
                  <c:v>-2</c:v>
                </c:pt>
                <c:pt idx="26">
                  <c:v>-2</c:v>
                </c:pt>
                <c:pt idx="27">
                  <c:v>16.75</c:v>
                </c:pt>
                <c:pt idx="28">
                  <c:v>12.25</c:v>
                </c:pt>
                <c:pt idx="29">
                  <c:v>13</c:v>
                </c:pt>
                <c:pt idx="30">
                  <c:v>13</c:v>
                </c:pt>
                <c:pt idx="31">
                  <c:v>0</c:v>
                </c:pt>
                <c:pt idx="32">
                  <c:v>-1</c:v>
                </c:pt>
                <c:pt idx="33">
                  <c:v>-3.5</c:v>
                </c:pt>
                <c:pt idx="34">
                  <c:v>-3.5</c:v>
                </c:pt>
                <c:pt idx="35">
                  <c:v>-3.5</c:v>
                </c:pt>
                <c:pt idx="36">
                  <c:v>-3.25</c:v>
                </c:pt>
                <c:pt idx="37">
                  <c:v>-3</c:v>
                </c:pt>
                <c:pt idx="38">
                  <c:v>-3.5</c:v>
                </c:pt>
                <c:pt idx="39">
                  <c:v>2.5</c:v>
                </c:pt>
                <c:pt idx="40">
                  <c:v>3.5</c:v>
                </c:pt>
                <c:pt idx="41">
                  <c:v>3.5</c:v>
                </c:pt>
                <c:pt idx="42">
                  <c:v>3</c:v>
                </c:pt>
                <c:pt idx="43">
                  <c:v>7</c:v>
                </c:pt>
                <c:pt idx="44">
                  <c:v>4</c:v>
                </c:pt>
                <c:pt idx="45">
                  <c:v>4.25</c:v>
                </c:pt>
                <c:pt idx="46">
                  <c:v>5</c:v>
                </c:pt>
                <c:pt idx="47">
                  <c:v>4.5</c:v>
                </c:pt>
                <c:pt idx="48">
                  <c:v>1.5</c:v>
                </c:pt>
                <c:pt idx="49">
                  <c:v>4.25</c:v>
                </c:pt>
                <c:pt idx="50">
                  <c:v>4</c:v>
                </c:pt>
                <c:pt idx="51">
                  <c:v>-3.5</c:v>
                </c:pt>
                <c:pt idx="52">
                  <c:v>-5</c:v>
                </c:pt>
                <c:pt idx="53">
                  <c:v>-3</c:v>
                </c:pt>
                <c:pt idx="54">
                  <c:v>-3.25</c:v>
                </c:pt>
                <c:pt idx="55">
                  <c:v>-4</c:v>
                </c:pt>
                <c:pt idx="56">
                  <c:v>-3.5</c:v>
                </c:pt>
                <c:pt idx="57">
                  <c:v>-6</c:v>
                </c:pt>
                <c:pt idx="58">
                  <c:v>-5</c:v>
                </c:pt>
                <c:pt idx="59">
                  <c:v>-4</c:v>
                </c:pt>
                <c:pt idx="60">
                  <c:v>-4</c:v>
                </c:pt>
                <c:pt idx="61">
                  <c:v>-5</c:v>
                </c:pt>
                <c:pt idx="62">
                  <c:v>-4</c:v>
                </c:pt>
                <c:pt idx="63">
                  <c:v>-5</c:v>
                </c:pt>
                <c:pt idx="64">
                  <c:v>-5</c:v>
                </c:pt>
                <c:pt idx="65">
                  <c:v>-4.25</c:v>
                </c:pt>
                <c:pt idx="66">
                  <c:v>-4.25</c:v>
                </c:pt>
                <c:pt idx="67">
                  <c:v>5</c:v>
                </c:pt>
                <c:pt idx="68">
                  <c:v>3.5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2.75</c:v>
                </c:pt>
                <c:pt idx="73">
                  <c:v>9.25</c:v>
                </c:pt>
                <c:pt idx="74">
                  <c:v>5.5</c:v>
                </c:pt>
                <c:pt idx="75">
                  <c:v>5.5</c:v>
                </c:pt>
                <c:pt idx="76">
                  <c:v>5</c:v>
                </c:pt>
                <c:pt idx="77">
                  <c:v>6.5</c:v>
                </c:pt>
                <c:pt idx="78">
                  <c:v>7</c:v>
                </c:pt>
                <c:pt idx="79">
                  <c:v>6.5</c:v>
                </c:pt>
                <c:pt idx="80">
                  <c:v>-14.5</c:v>
                </c:pt>
                <c:pt idx="81">
                  <c:v>0.5</c:v>
                </c:pt>
                <c:pt idx="82">
                  <c:v>-1.5</c:v>
                </c:pt>
                <c:pt idx="83">
                  <c:v>-1.5</c:v>
                </c:pt>
                <c:pt idx="84">
                  <c:v>-2.5</c:v>
                </c:pt>
                <c:pt idx="85">
                  <c:v>-1</c:v>
                </c:pt>
                <c:pt idx="86">
                  <c:v>3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-0.5</c:v>
                </c:pt>
                <c:pt idx="93">
                  <c:v>-0.25</c:v>
                </c:pt>
                <c:pt idx="94">
                  <c:v>-0.25</c:v>
                </c:pt>
                <c:pt idx="95">
                  <c:v>0</c:v>
                </c:pt>
                <c:pt idx="96">
                  <c:v>-0.25</c:v>
                </c:pt>
                <c:pt idx="97">
                  <c:v>0.25</c:v>
                </c:pt>
                <c:pt idx="98">
                  <c:v>-0.5</c:v>
                </c:pt>
                <c:pt idx="99">
                  <c:v>-0.5</c:v>
                </c:pt>
                <c:pt idx="100">
                  <c:v>-0.5</c:v>
                </c:pt>
                <c:pt idx="101">
                  <c:v>-0.5</c:v>
                </c:pt>
                <c:pt idx="102">
                  <c:v>-0.25</c:v>
                </c:pt>
                <c:pt idx="103">
                  <c:v>0</c:v>
                </c:pt>
                <c:pt idx="104">
                  <c:v>2.75</c:v>
                </c:pt>
                <c:pt idx="105">
                  <c:v>0.25</c:v>
                </c:pt>
                <c:pt idx="106">
                  <c:v>0</c:v>
                </c:pt>
                <c:pt idx="107">
                  <c:v>0.5</c:v>
                </c:pt>
                <c:pt idx="108">
                  <c:v>1</c:v>
                </c:pt>
                <c:pt idx="109">
                  <c:v>0.25</c:v>
                </c:pt>
                <c:pt idx="110">
                  <c:v>-4.690572364734761</c:v>
                </c:pt>
                <c:pt idx="111">
                  <c:v>-4.690572364734761</c:v>
                </c:pt>
                <c:pt idx="112">
                  <c:v>-4.8781952593241513</c:v>
                </c:pt>
                <c:pt idx="113">
                  <c:v>-4.3153265755559786</c:v>
                </c:pt>
                <c:pt idx="114">
                  <c:v>-3.7524578917878095</c:v>
                </c:pt>
                <c:pt idx="115">
                  <c:v>-4.6905723647347592</c:v>
                </c:pt>
                <c:pt idx="116">
                  <c:v>-5.816309732271101</c:v>
                </c:pt>
                <c:pt idx="117">
                  <c:v>-5.816309732271101</c:v>
                </c:pt>
                <c:pt idx="118">
                  <c:v>-6.5668013106286622</c:v>
                </c:pt>
                <c:pt idx="119">
                  <c:v>-8.0677844673437846</c:v>
                </c:pt>
                <c:pt idx="120">
                  <c:v>-1</c:v>
                </c:pt>
                <c:pt idx="121">
                  <c:v>-1</c:v>
                </c:pt>
                <c:pt idx="122">
                  <c:v>-1</c:v>
                </c:pt>
                <c:pt idx="123">
                  <c:v>0</c:v>
                </c:pt>
                <c:pt idx="124">
                  <c:v>2.0638518404832986</c:v>
                </c:pt>
                <c:pt idx="125">
                  <c:v>0.93811447294695327</c:v>
                </c:pt>
                <c:pt idx="126">
                  <c:v>1.688606051304518</c:v>
                </c:pt>
                <c:pt idx="127">
                  <c:v>1.5009831567151259</c:v>
                </c:pt>
                <c:pt idx="128">
                  <c:v>-0.56286868376816912</c:v>
                </c:pt>
                <c:pt idx="129">
                  <c:v>-0.56286868376816912</c:v>
                </c:pt>
                <c:pt idx="130">
                  <c:v>-0.18762289458938497</c:v>
                </c:pt>
                <c:pt idx="131">
                  <c:v>0</c:v>
                </c:pt>
                <c:pt idx="132">
                  <c:v>0.18762289458939563</c:v>
                </c:pt>
                <c:pt idx="133">
                  <c:v>0</c:v>
                </c:pt>
                <c:pt idx="134">
                  <c:v>-0.3752457891787806</c:v>
                </c:pt>
                <c:pt idx="135">
                  <c:v>-2.8143434188408563</c:v>
                </c:pt>
                <c:pt idx="136">
                  <c:v>-1.8762289458939048</c:v>
                </c:pt>
                <c:pt idx="137">
                  <c:v>-2.4390976296620739</c:v>
                </c:pt>
                <c:pt idx="138">
                  <c:v>-3.0019663134302466</c:v>
                </c:pt>
                <c:pt idx="139">
                  <c:v>1.1257373675363453</c:v>
                </c:pt>
                <c:pt idx="140">
                  <c:v>-0.93811447294694972</c:v>
                </c:pt>
                <c:pt idx="141">
                  <c:v>2.2514747350726836</c:v>
                </c:pt>
                <c:pt idx="142">
                  <c:v>1.8762289458939065</c:v>
                </c:pt>
                <c:pt idx="143">
                  <c:v>-3.3772121026090289</c:v>
                </c:pt>
                <c:pt idx="144">
                  <c:v>-4.1277036809665866</c:v>
                </c:pt>
                <c:pt idx="145">
                  <c:v>-2.626720524251466</c:v>
                </c:pt>
                <c:pt idx="146">
                  <c:v>-2.8143434188408563</c:v>
                </c:pt>
                <c:pt idx="147">
                  <c:v>-4.3153265755559786</c:v>
                </c:pt>
                <c:pt idx="148">
                  <c:v>-0.93811447294694972</c:v>
                </c:pt>
                <c:pt idx="149">
                  <c:v>-4.6905723647347557</c:v>
                </c:pt>
                <c:pt idx="150">
                  <c:v>-3.0019663134302412</c:v>
                </c:pt>
                <c:pt idx="151">
                  <c:v>0.56286868376817267</c:v>
                </c:pt>
                <c:pt idx="152">
                  <c:v>0.56286868376817267</c:v>
                </c:pt>
                <c:pt idx="153">
                  <c:v>0.65668013106286693</c:v>
                </c:pt>
                <c:pt idx="154">
                  <c:v>0.18762289458938852</c:v>
                </c:pt>
                <c:pt idx="155">
                  <c:v>-9.3811447294694261E-2</c:v>
                </c:pt>
                <c:pt idx="156">
                  <c:v>0.3752457891787806</c:v>
                </c:pt>
                <c:pt idx="157">
                  <c:v>0.18762289458938852</c:v>
                </c:pt>
                <c:pt idx="158">
                  <c:v>-0.93811447294694972</c:v>
                </c:pt>
                <c:pt idx="159">
                  <c:v>-1.876228945893903</c:v>
                </c:pt>
                <c:pt idx="160">
                  <c:v>-2.0638518404832915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02-4D4C-A9FB-51BCD4489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7328127"/>
        <c:axId val="767344927"/>
      </c:scatterChart>
      <c:valAx>
        <c:axId val="767328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44927"/>
        <c:crosses val="autoZero"/>
        <c:crossBetween val="midCat"/>
      </c:valAx>
      <c:valAx>
        <c:axId val="76734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8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://upload.wikimedia.org/wikipedia/commons/8/8c/Standard_deviation_diagram.svg" TargetMode="Externa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69850</xdr:rowOff>
    </xdr:from>
    <xdr:to>
      <xdr:col>16</xdr:col>
      <xdr:colOff>393700</xdr:colOff>
      <xdr:row>12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D038FD-6821-4B13-8114-49F47C59E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13</xdr:row>
      <xdr:rowOff>19050</xdr:rowOff>
    </xdr:from>
    <xdr:to>
      <xdr:col>16</xdr:col>
      <xdr:colOff>158750</xdr:colOff>
      <xdr:row>26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320FA8-5AC3-4695-B7CE-363553577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0</xdr:row>
      <xdr:rowOff>76200</xdr:rowOff>
    </xdr:from>
    <xdr:to>
      <xdr:col>14</xdr:col>
      <xdr:colOff>476250</xdr:colOff>
      <xdr:row>12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40688-F6B4-1CDC-0B40-F6464E259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425450</xdr:colOff>
      <xdr:row>13</xdr:row>
      <xdr:rowOff>44450</xdr:rowOff>
    </xdr:from>
    <xdr:to>
      <xdr:col>14</xdr:col>
      <xdr:colOff>476250</xdr:colOff>
      <xdr:row>26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379211-1CA7-4085-B19F-B62AE8F70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161925</xdr:rowOff>
    </xdr:from>
    <xdr:to>
      <xdr:col>12</xdr:col>
      <xdr:colOff>26669</xdr:colOff>
      <xdr:row>20</xdr:row>
      <xdr:rowOff>53341</xdr:rowOff>
    </xdr:to>
    <xdr:pic>
      <xdr:nvPicPr>
        <xdr:cNvPr id="2" name="Picture 1" descr="File:Standard deviation diagram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01FD97-27A8-4ACD-8CE0-489A5012E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76250" y="809625"/>
          <a:ext cx="6856094" cy="3320416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388326</xdr:colOff>
      <xdr:row>1</xdr:row>
      <xdr:rowOff>65941</xdr:rowOff>
    </xdr:from>
    <xdr:to>
      <xdr:col>9</xdr:col>
      <xdr:colOff>241787</xdr:colOff>
      <xdr:row>13</xdr:row>
      <xdr:rowOff>109902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D1843A-83DF-4175-95CB-8EF13CD42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781050</xdr:colOff>
      <xdr:row>1</xdr:row>
      <xdr:rowOff>142875</xdr:rowOff>
    </xdr:from>
    <xdr:to>
      <xdr:col>8</xdr:col>
      <xdr:colOff>1133475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B749D7-E617-4D61-BF03-9BB7E4B5E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166687</xdr:colOff>
      <xdr:row>1</xdr:row>
      <xdr:rowOff>6</xdr:rowOff>
    </xdr:from>
    <xdr:to>
      <xdr:col>7</xdr:col>
      <xdr:colOff>423862</xdr:colOff>
      <xdr:row>15</xdr:row>
      <xdr:rowOff>76206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461637-F91D-5876-CBAB-FFCBBBD52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247650</xdr:colOff>
      <xdr:row>5</xdr:row>
      <xdr:rowOff>28574</xdr:rowOff>
    </xdr:from>
    <xdr:to>
      <xdr:col>15</xdr:col>
      <xdr:colOff>323850</xdr:colOff>
      <xdr:row>16</xdr:row>
      <xdr:rowOff>547686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5DC3F6-1FD0-E719-5FF5-3D5807C7D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428625</xdr:colOff>
      <xdr:row>5</xdr:row>
      <xdr:rowOff>9525</xdr:rowOff>
    </xdr:from>
    <xdr:to>
      <xdr:col>22</xdr:col>
      <xdr:colOff>428625</xdr:colOff>
      <xdr:row>16</xdr:row>
      <xdr:rowOff>528637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71F1F5-5007-42B4-BF89-D7A7F26AA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104776</xdr:colOff>
      <xdr:row>5</xdr:row>
      <xdr:rowOff>23812</xdr:rowOff>
    </xdr:from>
    <xdr:to>
      <xdr:col>29</xdr:col>
      <xdr:colOff>228601</xdr:colOff>
      <xdr:row>16</xdr:row>
      <xdr:rowOff>623887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A57106-7B0B-B6FD-4330-FE0A1B35D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238124</xdr:colOff>
      <xdr:row>14</xdr:row>
      <xdr:rowOff>85724</xdr:rowOff>
    </xdr:from>
    <xdr:to>
      <xdr:col>16</xdr:col>
      <xdr:colOff>161924</xdr:colOff>
      <xdr:row>33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856EA1-8620-D79C-CB40-40EC1FA37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119062</xdr:colOff>
      <xdr:row>7</xdr:row>
      <xdr:rowOff>123825</xdr:rowOff>
    </xdr:from>
    <xdr:to>
      <xdr:col>23</xdr:col>
      <xdr:colOff>423862</xdr:colOff>
      <xdr:row>22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900FFF-5000-0CD5-49AB-854B38AFD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319087</xdr:colOff>
      <xdr:row>9</xdr:row>
      <xdr:rowOff>161925</xdr:rowOff>
    </xdr:from>
    <xdr:to>
      <xdr:col>6</xdr:col>
      <xdr:colOff>57150</xdr:colOff>
      <xdr:row>24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C744E-77B2-1415-6A6C-0C455E54BF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257175</xdr:colOff>
      <xdr:row>9</xdr:row>
      <xdr:rowOff>152400</xdr:rowOff>
    </xdr:from>
    <xdr:to>
      <xdr:col>12</xdr:col>
      <xdr:colOff>285750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5FDA9A-B574-4662-ABE3-A971E388D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433388</xdr:colOff>
      <xdr:row>9</xdr:row>
      <xdr:rowOff>180975</xdr:rowOff>
    </xdr:from>
    <xdr:to>
      <xdr:col>18</xdr:col>
      <xdr:colOff>600076</xdr:colOff>
      <xdr:row>24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7176C46-7608-BEFE-8A8C-EABD4F90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319087</xdr:colOff>
      <xdr:row>25</xdr:row>
      <xdr:rowOff>19050</xdr:rowOff>
    </xdr:from>
    <xdr:to>
      <xdr:col>6</xdr:col>
      <xdr:colOff>57150</xdr:colOff>
      <xdr:row>39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E651B7-72FE-D5E5-8E3A-56E8A7A572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266700</xdr:colOff>
      <xdr:row>25</xdr:row>
      <xdr:rowOff>57150</xdr:rowOff>
    </xdr:from>
    <xdr:to>
      <xdr:col>12</xdr:col>
      <xdr:colOff>304800</xdr:colOff>
      <xdr:row>39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42F0D6-8E97-D6FE-88B0-8473710CEF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414338</xdr:colOff>
      <xdr:row>25</xdr:row>
      <xdr:rowOff>104775</xdr:rowOff>
    </xdr:from>
    <xdr:to>
      <xdr:col>18</xdr:col>
      <xdr:colOff>504826</xdr:colOff>
      <xdr:row>39</xdr:row>
      <xdr:rowOff>57149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460245-F57E-826B-C245-CF15E967C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276225</xdr:colOff>
      <xdr:row>1</xdr:row>
      <xdr:rowOff>109537</xdr:rowOff>
    </xdr:from>
    <xdr:to>
      <xdr:col>22</xdr:col>
      <xdr:colOff>581025</xdr:colOff>
      <xdr:row>15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33E86D-81E2-A72E-8B49-BDBC2C2EE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438150</xdr:colOff>
      <xdr:row>16</xdr:row>
      <xdr:rowOff>152400</xdr:rowOff>
    </xdr:from>
    <xdr:to>
      <xdr:col>23</xdr:col>
      <xdr:colOff>133350</xdr:colOff>
      <xdr:row>31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E2BC9D-3309-4931-8F39-733C0B4619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371475</xdr:colOff>
      <xdr:row>9</xdr:row>
      <xdr:rowOff>14287</xdr:rowOff>
    </xdr:from>
    <xdr:to>
      <xdr:col>16</xdr:col>
      <xdr:colOff>9525</xdr:colOff>
      <xdr:row>33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D0196E-0C25-0D24-C6F9-E1C84D06CC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561975</xdr:colOff>
      <xdr:row>1</xdr:row>
      <xdr:rowOff>19050</xdr:rowOff>
    </xdr:from>
    <xdr:to>
      <xdr:col>19</xdr:col>
      <xdr:colOff>133350</xdr:colOff>
      <xdr:row>13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D44D97-7BFF-801A-CCC3-7DC48576D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3931-F8AC-41D1-AE65-6A021C163DBF}">
  <dimension ref="A1:F731"/>
  <sheetViews>
    <sheetView zoomScale="150" zoomScaleNormal="150" workbookViewId="0">
      <selection activeCell="E10" sqref="E10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5" x14ac:dyDescent="0.25">
      <c r="A1" t="s">
        <v>6</v>
      </c>
      <c r="B1" s="2">
        <v>0.02</v>
      </c>
      <c r="C1" s="2" t="s">
        <v>7</v>
      </c>
    </row>
    <row r="2" spans="1:5" x14ac:dyDescent="0.25">
      <c r="A2" t="s">
        <v>1</v>
      </c>
      <c r="B2" s="2">
        <v>149</v>
      </c>
      <c r="C2" s="2" t="s">
        <v>10</v>
      </c>
    </row>
    <row r="3" spans="1:5" s="2" customFormat="1" x14ac:dyDescent="0.25">
      <c r="A3" t="s">
        <v>4</v>
      </c>
      <c r="B3" s="3">
        <v>0.5</v>
      </c>
      <c r="C3" s="2" t="s">
        <v>5</v>
      </c>
      <c r="D3" s="2" t="s">
        <v>22</v>
      </c>
    </row>
    <row r="4" spans="1:5" s="2" customFormat="1" x14ac:dyDescent="0.25">
      <c r="A4" t="s">
        <v>31</v>
      </c>
      <c r="B4" s="3">
        <v>360</v>
      </c>
    </row>
    <row r="5" spans="1:5" s="2" customFormat="1" x14ac:dyDescent="0.25">
      <c r="A5" t="s">
        <v>32</v>
      </c>
      <c r="B5" s="4">
        <f>(B4/360)*21.5*PI()</f>
        <v>67.54424205218055</v>
      </c>
      <c r="C5" s="2" t="s">
        <v>16</v>
      </c>
      <c r="D5" s="2" t="s">
        <v>24</v>
      </c>
    </row>
    <row r="6" spans="1:5" s="2" customFormat="1" x14ac:dyDescent="0.25">
      <c r="A6" s="5" t="s">
        <v>0</v>
      </c>
      <c r="B6" s="5">
        <f>B5/12</f>
        <v>5.6286868376817125</v>
      </c>
      <c r="C6" s="5" t="s">
        <v>3</v>
      </c>
    </row>
    <row r="7" spans="1:5" s="2" customFormat="1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5" s="2" customFormat="1" x14ac:dyDescent="0.25">
      <c r="A8" t="s">
        <v>21</v>
      </c>
      <c r="B8" s="4">
        <f>B7*B1/B2</f>
        <v>4.0268456375838924E-2</v>
      </c>
    </row>
    <row r="9" spans="1:5" s="2" customFormat="1" x14ac:dyDescent="0.25">
      <c r="A9" t="s">
        <v>17</v>
      </c>
      <c r="B9" s="4">
        <f>B3*B2</f>
        <v>74.5</v>
      </c>
      <c r="C9" s="2" t="s">
        <v>9</v>
      </c>
    </row>
    <row r="10" spans="1:5" s="2" customFormat="1" x14ac:dyDescent="0.25">
      <c r="A10" t="s">
        <v>15</v>
      </c>
      <c r="B10" s="4">
        <f>SQRT(B7*B5)</f>
        <v>142.34912228620928</v>
      </c>
      <c r="C10" s="2" t="s">
        <v>9</v>
      </c>
    </row>
    <row r="11" spans="1:5" s="2" customFormat="1" x14ac:dyDescent="0.25">
      <c r="A11" s="7" t="s">
        <v>8</v>
      </c>
      <c r="B11" s="4">
        <f>MIN(B9:B10)</f>
        <v>74.5</v>
      </c>
      <c r="C11" s="2" t="s">
        <v>9</v>
      </c>
    </row>
    <row r="12" spans="1:5" s="2" customFormat="1" x14ac:dyDescent="0.25">
      <c r="A12" t="s">
        <v>27</v>
      </c>
      <c r="B12" s="1">
        <f>B11/B2</f>
        <v>0.5</v>
      </c>
      <c r="C12"/>
      <c r="D12" s="11"/>
      <c r="E12" s="11"/>
    </row>
    <row r="13" spans="1:5" s="2" customFormat="1" x14ac:dyDescent="0.25">
      <c r="A13" t="s">
        <v>18</v>
      </c>
      <c r="B13">
        <f>B5/B11+B11/B7</f>
        <v>1.1549674548391125</v>
      </c>
      <c r="C13" s="2" t="s">
        <v>7</v>
      </c>
    </row>
    <row r="14" spans="1:5" s="2" customFormat="1" x14ac:dyDescent="0.25">
      <c r="A14" t="s">
        <v>25</v>
      </c>
      <c r="B14" s="4">
        <f>B11/B7</f>
        <v>0.24833333333333332</v>
      </c>
      <c r="C14" s="2" t="s">
        <v>7</v>
      </c>
    </row>
    <row r="15" spans="1:5" s="2" customFormat="1" x14ac:dyDescent="0.25">
      <c r="A15" t="s">
        <v>19</v>
      </c>
      <c r="B15" s="4">
        <f>B13-B14</f>
        <v>0.90663412150577916</v>
      </c>
      <c r="C15" s="2" t="s">
        <v>7</v>
      </c>
    </row>
    <row r="16" spans="1:5" s="2" customFormat="1" x14ac:dyDescent="0.25">
      <c r="A16" t="s">
        <v>26</v>
      </c>
      <c r="B16" s="6">
        <f>D731</f>
        <v>67.050000000000011</v>
      </c>
      <c r="C16" s="2" t="s">
        <v>12</v>
      </c>
    </row>
    <row r="17" spans="1:6" x14ac:dyDescent="0.25">
      <c r="A17" t="s">
        <v>2</v>
      </c>
      <c r="B17" s="6">
        <f>D731-B5</f>
        <v>-0.49424205218053885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0.28187919463087246</v>
      </c>
      <c r="C27" s="2">
        <f t="shared" si="2"/>
        <v>42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0.32214765100671139</v>
      </c>
      <c r="C28" s="2">
        <f t="shared" si="2"/>
        <v>48</v>
      </c>
      <c r="D28" s="2">
        <f t="shared" si="3"/>
        <v>3.3599999999999994</v>
      </c>
    </row>
    <row r="29" spans="1:6" x14ac:dyDescent="0.25">
      <c r="A29">
        <f t="shared" si="1"/>
        <v>0.18</v>
      </c>
      <c r="B29" s="2">
        <f t="shared" si="0"/>
        <v>0.36241610738255031</v>
      </c>
      <c r="C29" s="2">
        <f t="shared" si="2"/>
        <v>54</v>
      </c>
      <c r="D29" s="2">
        <f t="shared" si="3"/>
        <v>4.3199999999999994</v>
      </c>
    </row>
    <row r="30" spans="1:6" x14ac:dyDescent="0.25">
      <c r="A30">
        <f t="shared" si="1"/>
        <v>0.19999999999999998</v>
      </c>
      <c r="B30" s="2">
        <f t="shared" si="0"/>
        <v>0.40268456375838924</v>
      </c>
      <c r="C30" s="2">
        <f t="shared" si="2"/>
        <v>59.999999999999993</v>
      </c>
      <c r="D30" s="2">
        <f t="shared" si="3"/>
        <v>5.3999999999999995</v>
      </c>
    </row>
    <row r="31" spans="1:6" x14ac:dyDescent="0.25">
      <c r="A31">
        <f t="shared" si="1"/>
        <v>0.21999999999999997</v>
      </c>
      <c r="B31" s="2">
        <f t="shared" si="0"/>
        <v>0.44295302013422816</v>
      </c>
      <c r="C31" s="2">
        <f t="shared" si="2"/>
        <v>66</v>
      </c>
      <c r="D31" s="2">
        <f t="shared" si="3"/>
        <v>6.6</v>
      </c>
    </row>
    <row r="32" spans="1:6" x14ac:dyDescent="0.25">
      <c r="A32">
        <f t="shared" si="1"/>
        <v>0.23999999999999996</v>
      </c>
      <c r="B32" s="2">
        <f t="shared" si="0"/>
        <v>0.48322147651006708</v>
      </c>
      <c r="C32" s="2">
        <f t="shared" si="2"/>
        <v>72</v>
      </c>
      <c r="D32" s="2">
        <f t="shared" si="3"/>
        <v>7.92</v>
      </c>
    </row>
    <row r="33" spans="1:4" s="2" customFormat="1" x14ac:dyDescent="0.25">
      <c r="A33">
        <f t="shared" si="1"/>
        <v>0.25999999999999995</v>
      </c>
      <c r="B33" s="2">
        <f t="shared" si="0"/>
        <v>0.5</v>
      </c>
      <c r="C33" s="2">
        <f t="shared" si="2"/>
        <v>74.5</v>
      </c>
      <c r="D33" s="2">
        <f t="shared" si="3"/>
        <v>9.36</v>
      </c>
    </row>
    <row r="34" spans="1:4" s="2" customFormat="1" x14ac:dyDescent="0.25">
      <c r="A34">
        <f t="shared" si="1"/>
        <v>0.27999999999999997</v>
      </c>
      <c r="B34" s="2">
        <f t="shared" si="0"/>
        <v>0.5</v>
      </c>
      <c r="C34" s="2">
        <f t="shared" si="2"/>
        <v>74.5</v>
      </c>
      <c r="D34" s="2">
        <f t="shared" si="3"/>
        <v>10.85</v>
      </c>
    </row>
    <row r="35" spans="1:4" s="2" customFormat="1" x14ac:dyDescent="0.25">
      <c r="A35">
        <f t="shared" si="1"/>
        <v>0.3</v>
      </c>
      <c r="B35" s="2">
        <f t="shared" si="0"/>
        <v>0.5</v>
      </c>
      <c r="C35" s="2">
        <f t="shared" si="2"/>
        <v>74.5</v>
      </c>
      <c r="D35" s="2">
        <f t="shared" si="3"/>
        <v>12.34</v>
      </c>
    </row>
    <row r="36" spans="1:4" s="2" customFormat="1" x14ac:dyDescent="0.25">
      <c r="A36">
        <f t="shared" si="1"/>
        <v>0.32</v>
      </c>
      <c r="B36" s="2">
        <f t="shared" si="0"/>
        <v>0.5</v>
      </c>
      <c r="C36" s="2">
        <f t="shared" si="2"/>
        <v>74.5</v>
      </c>
      <c r="D36" s="2">
        <f t="shared" si="3"/>
        <v>13.83</v>
      </c>
    </row>
    <row r="37" spans="1:4" s="2" customFormat="1" x14ac:dyDescent="0.25">
      <c r="A37">
        <f t="shared" si="1"/>
        <v>0.34</v>
      </c>
      <c r="B37" s="2">
        <f t="shared" si="0"/>
        <v>0.5</v>
      </c>
      <c r="C37" s="2">
        <f t="shared" si="2"/>
        <v>74.5</v>
      </c>
      <c r="D37" s="2">
        <f t="shared" si="3"/>
        <v>15.32</v>
      </c>
    </row>
    <row r="38" spans="1:4" s="2" customFormat="1" x14ac:dyDescent="0.25">
      <c r="A38">
        <f t="shared" si="1"/>
        <v>0.36000000000000004</v>
      </c>
      <c r="B38" s="2">
        <f t="shared" si="0"/>
        <v>0.5</v>
      </c>
      <c r="C38" s="2">
        <f t="shared" si="2"/>
        <v>74.5</v>
      </c>
      <c r="D38" s="2">
        <f t="shared" si="3"/>
        <v>16.809999999999999</v>
      </c>
    </row>
    <row r="39" spans="1:4" s="2" customFormat="1" x14ac:dyDescent="0.25">
      <c r="A39">
        <f t="shared" si="1"/>
        <v>0.38000000000000006</v>
      </c>
      <c r="B39" s="2">
        <f t="shared" si="0"/>
        <v>0.5</v>
      </c>
      <c r="C39" s="2">
        <f t="shared" si="2"/>
        <v>74.5</v>
      </c>
      <c r="D39" s="2">
        <f t="shared" si="3"/>
        <v>18.299999999999997</v>
      </c>
    </row>
    <row r="40" spans="1:4" s="2" customFormat="1" x14ac:dyDescent="0.25">
      <c r="A40">
        <f t="shared" si="1"/>
        <v>0.40000000000000008</v>
      </c>
      <c r="B40" s="2">
        <f t="shared" si="0"/>
        <v>0.5</v>
      </c>
      <c r="C40" s="2">
        <f t="shared" si="2"/>
        <v>74.5</v>
      </c>
      <c r="D40" s="2">
        <f t="shared" si="3"/>
        <v>19.789999999999996</v>
      </c>
    </row>
    <row r="41" spans="1:4" s="2" customFormat="1" x14ac:dyDescent="0.25">
      <c r="A41">
        <f t="shared" si="1"/>
        <v>0.4200000000000001</v>
      </c>
      <c r="B41" s="2">
        <f t="shared" si="0"/>
        <v>0.5</v>
      </c>
      <c r="C41" s="2">
        <f t="shared" si="2"/>
        <v>74.5</v>
      </c>
      <c r="D41" s="2">
        <f t="shared" si="3"/>
        <v>21.279999999999994</v>
      </c>
    </row>
    <row r="42" spans="1:4" s="2" customFormat="1" x14ac:dyDescent="0.25">
      <c r="A42">
        <f t="shared" si="1"/>
        <v>0.44000000000000011</v>
      </c>
      <c r="B42" s="2">
        <f t="shared" si="0"/>
        <v>0.5</v>
      </c>
      <c r="C42" s="2">
        <f t="shared" si="2"/>
        <v>74.5</v>
      </c>
      <c r="D42" s="2">
        <f t="shared" si="3"/>
        <v>22.769999999999992</v>
      </c>
    </row>
    <row r="43" spans="1:4" s="2" customFormat="1" x14ac:dyDescent="0.25">
      <c r="A43">
        <f t="shared" si="1"/>
        <v>0.46000000000000013</v>
      </c>
      <c r="B43" s="2">
        <f t="shared" si="0"/>
        <v>0.5</v>
      </c>
      <c r="C43" s="2">
        <f t="shared" si="2"/>
        <v>74.5</v>
      </c>
      <c r="D43" s="2">
        <f t="shared" si="3"/>
        <v>24.259999999999991</v>
      </c>
    </row>
    <row r="44" spans="1:4" s="2" customFormat="1" x14ac:dyDescent="0.25">
      <c r="A44">
        <f t="shared" si="1"/>
        <v>0.48000000000000015</v>
      </c>
      <c r="B44" s="2">
        <f t="shared" si="0"/>
        <v>0.5</v>
      </c>
      <c r="C44" s="2">
        <f t="shared" si="2"/>
        <v>74.5</v>
      </c>
      <c r="D44" s="2">
        <f t="shared" si="3"/>
        <v>25.749999999999989</v>
      </c>
    </row>
    <row r="45" spans="1:4" s="2" customFormat="1" x14ac:dyDescent="0.25">
      <c r="A45">
        <f t="shared" si="1"/>
        <v>0.50000000000000011</v>
      </c>
      <c r="B45" s="2">
        <f t="shared" si="0"/>
        <v>0.5</v>
      </c>
      <c r="C45" s="2">
        <f t="shared" si="2"/>
        <v>74.5</v>
      </c>
      <c r="D45" s="2">
        <f t="shared" si="3"/>
        <v>27.239999999999988</v>
      </c>
    </row>
    <row r="46" spans="1:4" s="2" customFormat="1" x14ac:dyDescent="0.25">
      <c r="A46">
        <f t="shared" si="1"/>
        <v>0.52000000000000013</v>
      </c>
      <c r="B46" s="2">
        <f t="shared" si="0"/>
        <v>0.5</v>
      </c>
      <c r="C46" s="2">
        <f t="shared" si="2"/>
        <v>74.5</v>
      </c>
      <c r="D46" s="2">
        <f t="shared" si="3"/>
        <v>28.729999999999986</v>
      </c>
    </row>
    <row r="47" spans="1:4" s="2" customFormat="1" x14ac:dyDescent="0.25">
      <c r="A47">
        <f t="shared" si="1"/>
        <v>0.54000000000000015</v>
      </c>
      <c r="B47" s="2">
        <f t="shared" si="0"/>
        <v>0.5</v>
      </c>
      <c r="C47" s="2">
        <f t="shared" si="2"/>
        <v>74.5</v>
      </c>
      <c r="D47" s="2">
        <f t="shared" si="3"/>
        <v>30.219999999999985</v>
      </c>
    </row>
    <row r="48" spans="1:4" s="2" customFormat="1" x14ac:dyDescent="0.25">
      <c r="A48">
        <f t="shared" si="1"/>
        <v>0.56000000000000016</v>
      </c>
      <c r="B48" s="2">
        <f t="shared" si="0"/>
        <v>0.5</v>
      </c>
      <c r="C48" s="2">
        <f t="shared" si="2"/>
        <v>74.5</v>
      </c>
      <c r="D48" s="2">
        <f t="shared" si="3"/>
        <v>31.709999999999983</v>
      </c>
    </row>
    <row r="49" spans="1:4" s="2" customFormat="1" x14ac:dyDescent="0.25">
      <c r="A49">
        <f t="shared" si="1"/>
        <v>0.58000000000000018</v>
      </c>
      <c r="B49" s="2">
        <f t="shared" si="0"/>
        <v>0.5</v>
      </c>
      <c r="C49" s="2">
        <f t="shared" si="2"/>
        <v>74.5</v>
      </c>
      <c r="D49" s="2">
        <f t="shared" si="3"/>
        <v>33.199999999999982</v>
      </c>
    </row>
    <row r="50" spans="1:4" s="2" customFormat="1" x14ac:dyDescent="0.25">
      <c r="A50">
        <f t="shared" si="1"/>
        <v>0.6000000000000002</v>
      </c>
      <c r="B50" s="2">
        <f t="shared" si="0"/>
        <v>0.5</v>
      </c>
      <c r="C50" s="2">
        <f t="shared" si="2"/>
        <v>74.5</v>
      </c>
      <c r="D50" s="2">
        <f t="shared" si="3"/>
        <v>34.689999999999984</v>
      </c>
    </row>
    <row r="51" spans="1:4" s="2" customFormat="1" x14ac:dyDescent="0.25">
      <c r="A51">
        <f t="shared" si="1"/>
        <v>0.62000000000000022</v>
      </c>
      <c r="B51" s="2">
        <f t="shared" si="0"/>
        <v>0.5</v>
      </c>
      <c r="C51" s="2">
        <f t="shared" si="2"/>
        <v>74.5</v>
      </c>
      <c r="D51" s="2">
        <f t="shared" si="3"/>
        <v>36.179999999999986</v>
      </c>
    </row>
    <row r="52" spans="1:4" s="2" customFormat="1" x14ac:dyDescent="0.25">
      <c r="A52">
        <f t="shared" si="1"/>
        <v>0.64000000000000024</v>
      </c>
      <c r="B52" s="2">
        <f t="shared" si="0"/>
        <v>0.5</v>
      </c>
      <c r="C52" s="2">
        <f t="shared" si="2"/>
        <v>74.5</v>
      </c>
      <c r="D52" s="2">
        <f t="shared" si="3"/>
        <v>37.669999999999987</v>
      </c>
    </row>
    <row r="53" spans="1:4" s="2" customFormat="1" x14ac:dyDescent="0.25">
      <c r="A53">
        <f t="shared" si="1"/>
        <v>0.66000000000000025</v>
      </c>
      <c r="B53" s="2">
        <f t="shared" si="0"/>
        <v>0.5</v>
      </c>
      <c r="C53" s="2">
        <f t="shared" si="2"/>
        <v>74.5</v>
      </c>
      <c r="D53" s="2">
        <f t="shared" si="3"/>
        <v>39.159999999999989</v>
      </c>
    </row>
    <row r="54" spans="1:4" s="2" customFormat="1" x14ac:dyDescent="0.25">
      <c r="A54">
        <f t="shared" si="1"/>
        <v>0.68000000000000027</v>
      </c>
      <c r="B54" s="2">
        <f t="shared" si="0"/>
        <v>0.5</v>
      </c>
      <c r="C54" s="2">
        <f t="shared" si="2"/>
        <v>74.5</v>
      </c>
      <c r="D54" s="2">
        <f t="shared" si="3"/>
        <v>40.649999999999991</v>
      </c>
    </row>
    <row r="55" spans="1:4" s="2" customFormat="1" x14ac:dyDescent="0.25">
      <c r="A55">
        <f t="shared" si="1"/>
        <v>0.70000000000000029</v>
      </c>
      <c r="B55" s="2">
        <f t="shared" si="0"/>
        <v>0.5</v>
      </c>
      <c r="C55" s="2">
        <f t="shared" si="2"/>
        <v>74.5</v>
      </c>
      <c r="D55" s="2">
        <f t="shared" si="3"/>
        <v>42.139999999999993</v>
      </c>
    </row>
    <row r="56" spans="1:4" s="2" customFormat="1" x14ac:dyDescent="0.25">
      <c r="A56">
        <f t="shared" si="1"/>
        <v>0.72000000000000031</v>
      </c>
      <c r="B56" s="2">
        <f t="shared" si="0"/>
        <v>0.5</v>
      </c>
      <c r="C56" s="2">
        <f t="shared" si="2"/>
        <v>74.5</v>
      </c>
      <c r="D56" s="2">
        <f t="shared" si="3"/>
        <v>43.629999999999995</v>
      </c>
    </row>
    <row r="57" spans="1:4" s="2" customFormat="1" x14ac:dyDescent="0.25">
      <c r="A57">
        <f t="shared" si="1"/>
        <v>0.74000000000000032</v>
      </c>
      <c r="B57" s="2">
        <f t="shared" si="0"/>
        <v>0.5</v>
      </c>
      <c r="C57" s="2">
        <f t="shared" si="2"/>
        <v>74.5</v>
      </c>
      <c r="D57" s="2">
        <f t="shared" si="3"/>
        <v>45.12</v>
      </c>
    </row>
    <row r="58" spans="1:4" s="2" customFormat="1" x14ac:dyDescent="0.25">
      <c r="A58">
        <f t="shared" si="1"/>
        <v>0.76000000000000034</v>
      </c>
      <c r="B58" s="2">
        <f t="shared" si="0"/>
        <v>0.5</v>
      </c>
      <c r="C58" s="2">
        <f t="shared" si="2"/>
        <v>74.5</v>
      </c>
      <c r="D58" s="2">
        <f t="shared" si="3"/>
        <v>46.61</v>
      </c>
    </row>
    <row r="59" spans="1:4" s="2" customFormat="1" x14ac:dyDescent="0.25">
      <c r="A59">
        <f t="shared" si="1"/>
        <v>0.78000000000000036</v>
      </c>
      <c r="B59" s="2">
        <f t="shared" si="0"/>
        <v>0.5</v>
      </c>
      <c r="C59" s="2">
        <f t="shared" si="2"/>
        <v>74.5</v>
      </c>
      <c r="D59" s="2">
        <f t="shared" si="3"/>
        <v>48.1</v>
      </c>
    </row>
    <row r="60" spans="1:4" s="2" customFormat="1" x14ac:dyDescent="0.25">
      <c r="A60">
        <f t="shared" si="1"/>
        <v>0.80000000000000038</v>
      </c>
      <c r="B60" s="2">
        <f t="shared" si="0"/>
        <v>0.5</v>
      </c>
      <c r="C60" s="2">
        <f t="shared" si="2"/>
        <v>74.5</v>
      </c>
      <c r="D60" s="2">
        <f t="shared" si="3"/>
        <v>49.59</v>
      </c>
    </row>
    <row r="61" spans="1:4" s="2" customFormat="1" x14ac:dyDescent="0.25">
      <c r="A61">
        <f t="shared" si="1"/>
        <v>0.8200000000000004</v>
      </c>
      <c r="B61" s="2">
        <f t="shared" si="0"/>
        <v>0.5</v>
      </c>
      <c r="C61" s="2">
        <f t="shared" si="2"/>
        <v>74.5</v>
      </c>
      <c r="D61" s="2">
        <f t="shared" si="3"/>
        <v>51.080000000000005</v>
      </c>
    </row>
    <row r="62" spans="1:4" s="2" customFormat="1" x14ac:dyDescent="0.25">
      <c r="A62">
        <f t="shared" si="1"/>
        <v>0.84000000000000041</v>
      </c>
      <c r="B62" s="2">
        <f t="shared" si="0"/>
        <v>0.5</v>
      </c>
      <c r="C62" s="2">
        <f t="shared" si="2"/>
        <v>74.5</v>
      </c>
      <c r="D62" s="2">
        <f t="shared" si="3"/>
        <v>52.570000000000007</v>
      </c>
    </row>
    <row r="63" spans="1:4" s="2" customFormat="1" x14ac:dyDescent="0.25">
      <c r="A63">
        <f t="shared" si="1"/>
        <v>0.86000000000000043</v>
      </c>
      <c r="B63" s="2">
        <f t="shared" si="0"/>
        <v>0.5</v>
      </c>
      <c r="C63" s="2">
        <f t="shared" si="2"/>
        <v>74.5</v>
      </c>
      <c r="D63" s="2">
        <f t="shared" si="3"/>
        <v>54.060000000000009</v>
      </c>
    </row>
    <row r="64" spans="1:4" s="2" customFormat="1" x14ac:dyDescent="0.25">
      <c r="A64">
        <f t="shared" si="1"/>
        <v>0.88000000000000045</v>
      </c>
      <c r="B64" s="2">
        <f t="shared" si="0"/>
        <v>0.5</v>
      </c>
      <c r="C64" s="2">
        <f t="shared" si="2"/>
        <v>74.5</v>
      </c>
      <c r="D64" s="2">
        <f t="shared" si="3"/>
        <v>55.550000000000011</v>
      </c>
    </row>
    <row r="65" spans="1:4" s="2" customFormat="1" x14ac:dyDescent="0.25">
      <c r="A65">
        <f t="shared" si="1"/>
        <v>0.90000000000000047</v>
      </c>
      <c r="B65" s="2">
        <f t="shared" si="0"/>
        <v>0.5</v>
      </c>
      <c r="C65" s="2">
        <f t="shared" si="2"/>
        <v>74.5</v>
      </c>
      <c r="D65" s="2">
        <f t="shared" si="3"/>
        <v>57.040000000000013</v>
      </c>
    </row>
    <row r="66" spans="1:4" s="2" customFormat="1" x14ac:dyDescent="0.25">
      <c r="A66">
        <f t="shared" si="1"/>
        <v>0.92000000000000048</v>
      </c>
      <c r="B66" s="2">
        <f t="shared" si="0"/>
        <v>0.45973154362416108</v>
      </c>
      <c r="C66" s="2">
        <f t="shared" si="2"/>
        <v>68.5</v>
      </c>
      <c r="D66" s="2">
        <f t="shared" si="3"/>
        <v>58.530000000000015</v>
      </c>
    </row>
    <row r="67" spans="1:4" s="2" customFormat="1" x14ac:dyDescent="0.25">
      <c r="A67">
        <f t="shared" si="1"/>
        <v>0.9400000000000005</v>
      </c>
      <c r="B67" s="2">
        <f t="shared" si="0"/>
        <v>0.41946308724832215</v>
      </c>
      <c r="C67" s="2">
        <f t="shared" si="2"/>
        <v>62.5</v>
      </c>
      <c r="D67" s="2">
        <f t="shared" si="3"/>
        <v>59.900000000000013</v>
      </c>
    </row>
    <row r="68" spans="1:4" s="2" customFormat="1" x14ac:dyDescent="0.25">
      <c r="A68">
        <f t="shared" si="1"/>
        <v>0.96000000000000052</v>
      </c>
      <c r="B68" s="2">
        <f t="shared" si="0"/>
        <v>0.37919463087248323</v>
      </c>
      <c r="C68" s="2">
        <f t="shared" si="2"/>
        <v>56.5</v>
      </c>
      <c r="D68" s="2">
        <f t="shared" si="3"/>
        <v>61.150000000000013</v>
      </c>
    </row>
    <row r="69" spans="1:4" s="2" customFormat="1" x14ac:dyDescent="0.25">
      <c r="A69">
        <f t="shared" si="1"/>
        <v>0.98000000000000054</v>
      </c>
      <c r="B69" s="2">
        <f t="shared" si="0"/>
        <v>0.33892617449664431</v>
      </c>
      <c r="C69" s="2">
        <f t="shared" si="2"/>
        <v>50.5</v>
      </c>
      <c r="D69" s="2">
        <f t="shared" si="3"/>
        <v>62.280000000000015</v>
      </c>
    </row>
    <row r="70" spans="1:4" s="2" customFormat="1" x14ac:dyDescent="0.25">
      <c r="A70">
        <f t="shared" si="1"/>
        <v>1.0000000000000004</v>
      </c>
      <c r="B70" s="2">
        <f t="shared" si="0"/>
        <v>0.29865771812080538</v>
      </c>
      <c r="C70" s="2">
        <f t="shared" si="2"/>
        <v>44.5</v>
      </c>
      <c r="D70" s="2">
        <f t="shared" si="3"/>
        <v>63.290000000000013</v>
      </c>
    </row>
    <row r="71" spans="1:4" s="2" customFormat="1" x14ac:dyDescent="0.25">
      <c r="A71">
        <f t="shared" si="1"/>
        <v>1.0200000000000005</v>
      </c>
      <c r="B71" s="2">
        <f t="shared" si="0"/>
        <v>0.25838926174496646</v>
      </c>
      <c r="C71" s="2">
        <f t="shared" si="2"/>
        <v>38.5</v>
      </c>
      <c r="D71" s="2">
        <f t="shared" si="3"/>
        <v>64.180000000000007</v>
      </c>
    </row>
    <row r="72" spans="1:4" s="2" customFormat="1" x14ac:dyDescent="0.25">
      <c r="A72">
        <f t="shared" si="1"/>
        <v>1.0400000000000005</v>
      </c>
      <c r="B72" s="2">
        <f t="shared" si="0"/>
        <v>0.21812080536912754</v>
      </c>
      <c r="C72" s="2">
        <f t="shared" si="2"/>
        <v>32.5</v>
      </c>
      <c r="D72" s="2">
        <f t="shared" si="3"/>
        <v>64.95</v>
      </c>
    </row>
    <row r="73" spans="1:4" s="2" customFormat="1" x14ac:dyDescent="0.25">
      <c r="A73">
        <f t="shared" si="1"/>
        <v>1.0600000000000005</v>
      </c>
      <c r="B73" s="2">
        <f t="shared" si="0"/>
        <v>0.17785234899328861</v>
      </c>
      <c r="C73" s="2">
        <f t="shared" si="2"/>
        <v>26.500000000000004</v>
      </c>
      <c r="D73" s="2">
        <f t="shared" si="3"/>
        <v>65.600000000000009</v>
      </c>
    </row>
    <row r="74" spans="1:4" s="2" customFormat="1" x14ac:dyDescent="0.25">
      <c r="A74">
        <f t="shared" si="1"/>
        <v>1.0800000000000005</v>
      </c>
      <c r="B74" s="2">
        <f t="shared" si="0"/>
        <v>0.13758389261744969</v>
      </c>
      <c r="C74" s="2">
        <f t="shared" si="2"/>
        <v>20.500000000000004</v>
      </c>
      <c r="D74" s="2">
        <f t="shared" si="3"/>
        <v>66.13000000000001</v>
      </c>
    </row>
    <row r="75" spans="1:4" s="2" customFormat="1" x14ac:dyDescent="0.25">
      <c r="A75">
        <f t="shared" si="1"/>
        <v>1.1000000000000005</v>
      </c>
      <c r="B75" s="2">
        <f t="shared" si="0"/>
        <v>9.7315436241610764E-2</v>
      </c>
      <c r="C75" s="2">
        <f t="shared" si="2"/>
        <v>14.500000000000004</v>
      </c>
      <c r="D75" s="2">
        <f t="shared" si="3"/>
        <v>66.540000000000006</v>
      </c>
    </row>
    <row r="76" spans="1:4" s="2" customFormat="1" x14ac:dyDescent="0.25">
      <c r="A76">
        <f t="shared" si="1"/>
        <v>1.1200000000000006</v>
      </c>
      <c r="B76" s="2">
        <f t="shared" si="0"/>
        <v>5.7046979865771841E-2</v>
      </c>
      <c r="C76" s="2">
        <f t="shared" si="2"/>
        <v>8.5000000000000036</v>
      </c>
      <c r="D76" s="2">
        <f t="shared" si="3"/>
        <v>66.830000000000013</v>
      </c>
    </row>
    <row r="77" spans="1:4" s="2" customFormat="1" x14ac:dyDescent="0.25">
      <c r="A77">
        <f t="shared" si="1"/>
        <v>1.1400000000000006</v>
      </c>
      <c r="B77" s="2">
        <f t="shared" si="0"/>
        <v>1.6778523489932917E-2</v>
      </c>
      <c r="C77" s="2">
        <f t="shared" si="2"/>
        <v>2.5000000000000044</v>
      </c>
      <c r="D77" s="2">
        <f t="shared" si="3"/>
        <v>67.000000000000014</v>
      </c>
    </row>
    <row r="78" spans="1:4" s="2" customFormat="1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67.050000000000011</v>
      </c>
    </row>
    <row r="79" spans="1:4" s="2" customFormat="1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67.050000000000011</v>
      </c>
    </row>
    <row r="80" spans="1:4" s="2" customFormat="1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67.050000000000011</v>
      </c>
    </row>
    <row r="81" spans="1:4" s="2" customFormat="1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67.050000000000011</v>
      </c>
    </row>
    <row r="82" spans="1:4" s="2" customFormat="1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67.050000000000011</v>
      </c>
    </row>
    <row r="83" spans="1:4" s="2" customFormat="1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67.050000000000011</v>
      </c>
    </row>
    <row r="84" spans="1:4" s="2" customFormat="1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67.050000000000011</v>
      </c>
    </row>
    <row r="85" spans="1:4" s="2" customFormat="1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67.050000000000011</v>
      </c>
    </row>
    <row r="86" spans="1:4" s="2" customFormat="1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67.050000000000011</v>
      </c>
    </row>
    <row r="87" spans="1:4" s="2" customFormat="1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67.050000000000011</v>
      </c>
    </row>
    <row r="88" spans="1:4" s="2" customFormat="1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67.050000000000011</v>
      </c>
    </row>
    <row r="89" spans="1:4" s="2" customFormat="1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67.050000000000011</v>
      </c>
    </row>
    <row r="90" spans="1:4" s="2" customFormat="1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67.050000000000011</v>
      </c>
    </row>
    <row r="91" spans="1:4" s="2" customFormat="1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67.050000000000011</v>
      </c>
    </row>
    <row r="92" spans="1:4" s="2" customFormat="1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67.050000000000011</v>
      </c>
    </row>
    <row r="93" spans="1:4" s="2" customFormat="1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67.050000000000011</v>
      </c>
    </row>
    <row r="94" spans="1:4" s="2" customFormat="1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67.050000000000011</v>
      </c>
    </row>
    <row r="95" spans="1:4" s="2" customFormat="1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67.050000000000011</v>
      </c>
    </row>
    <row r="96" spans="1:4" s="2" customFormat="1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67.050000000000011</v>
      </c>
    </row>
    <row r="97" spans="1:4" s="2" customFormat="1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67.050000000000011</v>
      </c>
    </row>
    <row r="98" spans="1:4" s="2" customFormat="1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67.050000000000011</v>
      </c>
    </row>
    <row r="99" spans="1:4" s="2" customFormat="1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67.050000000000011</v>
      </c>
    </row>
    <row r="100" spans="1:4" s="2" customFormat="1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67.050000000000011</v>
      </c>
    </row>
    <row r="101" spans="1:4" s="2" customFormat="1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67.050000000000011</v>
      </c>
    </row>
    <row r="102" spans="1:4" s="2" customFormat="1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67.050000000000011</v>
      </c>
    </row>
    <row r="103" spans="1:4" s="2" customFormat="1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67.050000000000011</v>
      </c>
    </row>
    <row r="104" spans="1:4" s="2" customFormat="1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67.050000000000011</v>
      </c>
    </row>
    <row r="105" spans="1:4" s="2" customFormat="1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67.050000000000011</v>
      </c>
    </row>
    <row r="106" spans="1:4" s="2" customFormat="1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67.050000000000011</v>
      </c>
    </row>
    <row r="107" spans="1:4" s="2" customFormat="1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67.050000000000011</v>
      </c>
    </row>
    <row r="108" spans="1:4" s="2" customFormat="1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67.050000000000011</v>
      </c>
    </row>
    <row r="109" spans="1:4" s="2" customFormat="1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67.050000000000011</v>
      </c>
    </row>
    <row r="110" spans="1:4" s="2" customFormat="1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67.050000000000011</v>
      </c>
    </row>
    <row r="111" spans="1:4" s="2" customFormat="1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67.050000000000011</v>
      </c>
    </row>
    <row r="112" spans="1:4" s="2" customFormat="1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67.050000000000011</v>
      </c>
    </row>
    <row r="113" spans="1:4" s="2" customFormat="1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67.050000000000011</v>
      </c>
    </row>
    <row r="114" spans="1:4" s="2" customFormat="1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67.050000000000011</v>
      </c>
    </row>
    <row r="115" spans="1:4" s="2" customFormat="1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67.050000000000011</v>
      </c>
    </row>
    <row r="116" spans="1:4" s="2" customFormat="1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67.050000000000011</v>
      </c>
    </row>
    <row r="117" spans="1:4" s="2" customFormat="1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67.050000000000011</v>
      </c>
    </row>
    <row r="118" spans="1:4" s="2" customFormat="1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67.050000000000011</v>
      </c>
    </row>
    <row r="119" spans="1:4" s="2" customFormat="1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67.050000000000011</v>
      </c>
    </row>
    <row r="120" spans="1:4" s="2" customFormat="1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67.050000000000011</v>
      </c>
    </row>
    <row r="121" spans="1:4" s="2" customFormat="1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67.050000000000011</v>
      </c>
    </row>
    <row r="122" spans="1:4" s="2" customFormat="1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67.050000000000011</v>
      </c>
    </row>
    <row r="123" spans="1:4" s="2" customFormat="1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67.050000000000011</v>
      </c>
    </row>
    <row r="124" spans="1:4" s="2" customFormat="1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67.050000000000011</v>
      </c>
    </row>
    <row r="125" spans="1:4" s="2" customFormat="1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67.050000000000011</v>
      </c>
    </row>
    <row r="126" spans="1:4" s="2" customFormat="1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67.050000000000011</v>
      </c>
    </row>
    <row r="127" spans="1:4" s="2" customFormat="1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67.050000000000011</v>
      </c>
    </row>
    <row r="128" spans="1:4" s="2" customFormat="1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67.050000000000011</v>
      </c>
    </row>
    <row r="129" spans="1:4" s="2" customFormat="1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67.050000000000011</v>
      </c>
    </row>
    <row r="130" spans="1:4" s="2" customFormat="1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67.050000000000011</v>
      </c>
    </row>
    <row r="131" spans="1:4" s="2" customFormat="1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67.050000000000011</v>
      </c>
    </row>
    <row r="132" spans="1:4" s="2" customFormat="1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67.050000000000011</v>
      </c>
    </row>
    <row r="133" spans="1:4" s="2" customFormat="1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67.050000000000011</v>
      </c>
    </row>
    <row r="134" spans="1:4" s="2" customFormat="1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67.050000000000011</v>
      </c>
    </row>
    <row r="135" spans="1:4" s="2" customFormat="1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67.050000000000011</v>
      </c>
    </row>
    <row r="136" spans="1:4" s="2" customFormat="1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67.050000000000011</v>
      </c>
    </row>
    <row r="137" spans="1:4" s="2" customFormat="1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67.050000000000011</v>
      </c>
    </row>
    <row r="138" spans="1:4" s="2" customFormat="1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67.050000000000011</v>
      </c>
    </row>
    <row r="139" spans="1:4" s="2" customFormat="1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67.050000000000011</v>
      </c>
    </row>
    <row r="140" spans="1:4" s="2" customFormat="1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67.050000000000011</v>
      </c>
    </row>
    <row r="141" spans="1:4" s="2" customFormat="1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67.050000000000011</v>
      </c>
    </row>
    <row r="142" spans="1:4" s="2" customFormat="1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67.050000000000011</v>
      </c>
    </row>
    <row r="143" spans="1:4" s="2" customFormat="1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67.050000000000011</v>
      </c>
    </row>
    <row r="144" spans="1:4" s="2" customFormat="1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67.050000000000011</v>
      </c>
    </row>
    <row r="145" spans="1:4" s="2" customFormat="1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67.050000000000011</v>
      </c>
    </row>
    <row r="146" spans="1:4" s="2" customFormat="1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67.050000000000011</v>
      </c>
    </row>
    <row r="147" spans="1:4" s="2" customFormat="1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67.050000000000011</v>
      </c>
    </row>
    <row r="148" spans="1:4" s="2" customFormat="1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67.050000000000011</v>
      </c>
    </row>
    <row r="149" spans="1:4" s="2" customFormat="1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67.050000000000011</v>
      </c>
    </row>
    <row r="150" spans="1:4" s="2" customFormat="1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67.050000000000011</v>
      </c>
    </row>
    <row r="151" spans="1:4" s="2" customFormat="1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67.050000000000011</v>
      </c>
    </row>
    <row r="152" spans="1:4" s="2" customFormat="1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67.050000000000011</v>
      </c>
    </row>
    <row r="153" spans="1:4" s="2" customFormat="1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67.050000000000011</v>
      </c>
    </row>
    <row r="154" spans="1:4" s="2" customFormat="1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67.050000000000011</v>
      </c>
    </row>
    <row r="155" spans="1:4" s="2" customFormat="1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67.050000000000011</v>
      </c>
    </row>
    <row r="156" spans="1:4" s="2" customFormat="1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67.050000000000011</v>
      </c>
    </row>
    <row r="157" spans="1:4" s="2" customFormat="1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67.050000000000011</v>
      </c>
    </row>
    <row r="158" spans="1:4" s="2" customFormat="1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67.050000000000011</v>
      </c>
    </row>
    <row r="159" spans="1:4" s="2" customFormat="1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67.050000000000011</v>
      </c>
    </row>
    <row r="160" spans="1:4" s="2" customFormat="1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67.050000000000011</v>
      </c>
    </row>
    <row r="161" spans="1:4" s="2" customFormat="1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67.050000000000011</v>
      </c>
    </row>
    <row r="162" spans="1:4" s="2" customFormat="1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67.050000000000011</v>
      </c>
    </row>
    <row r="163" spans="1:4" s="2" customFormat="1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67.050000000000011</v>
      </c>
    </row>
    <row r="164" spans="1:4" s="2" customFormat="1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67.050000000000011</v>
      </c>
    </row>
    <row r="165" spans="1:4" s="2" customFormat="1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67.050000000000011</v>
      </c>
    </row>
    <row r="166" spans="1:4" s="2" customFormat="1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67.050000000000011</v>
      </c>
    </row>
    <row r="167" spans="1:4" s="2" customFormat="1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67.050000000000011</v>
      </c>
    </row>
    <row r="168" spans="1:4" s="2" customFormat="1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67.050000000000011</v>
      </c>
    </row>
    <row r="169" spans="1:4" s="2" customFormat="1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67.050000000000011</v>
      </c>
    </row>
    <row r="170" spans="1:4" s="2" customFormat="1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67.050000000000011</v>
      </c>
    </row>
    <row r="171" spans="1:4" s="2" customFormat="1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67.050000000000011</v>
      </c>
    </row>
    <row r="172" spans="1:4" s="2" customFormat="1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67.050000000000011</v>
      </c>
    </row>
    <row r="173" spans="1:4" s="2" customFormat="1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67.050000000000011</v>
      </c>
    </row>
    <row r="174" spans="1:4" s="2" customFormat="1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67.050000000000011</v>
      </c>
    </row>
    <row r="175" spans="1:4" s="2" customFormat="1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67.050000000000011</v>
      </c>
    </row>
    <row r="176" spans="1:4" s="2" customFormat="1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67.050000000000011</v>
      </c>
    </row>
    <row r="177" spans="1:4" s="2" customFormat="1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67.050000000000011</v>
      </c>
    </row>
    <row r="178" spans="1:4" s="2" customFormat="1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67.050000000000011</v>
      </c>
    </row>
    <row r="179" spans="1:4" s="2" customFormat="1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67.050000000000011</v>
      </c>
    </row>
    <row r="180" spans="1:4" s="2" customFormat="1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67.050000000000011</v>
      </c>
    </row>
    <row r="181" spans="1:4" s="2" customFormat="1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67.050000000000011</v>
      </c>
    </row>
    <row r="182" spans="1:4" s="2" customFormat="1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67.050000000000011</v>
      </c>
    </row>
    <row r="183" spans="1:4" s="2" customFormat="1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67.050000000000011</v>
      </c>
    </row>
    <row r="184" spans="1:4" s="2" customFormat="1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67.050000000000011</v>
      </c>
    </row>
    <row r="185" spans="1:4" s="2" customFormat="1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67.050000000000011</v>
      </c>
    </row>
    <row r="186" spans="1:4" s="2" customFormat="1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67.050000000000011</v>
      </c>
    </row>
    <row r="187" spans="1:4" s="2" customFormat="1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67.050000000000011</v>
      </c>
    </row>
    <row r="188" spans="1:4" s="2" customFormat="1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67.050000000000011</v>
      </c>
    </row>
    <row r="189" spans="1:4" s="2" customFormat="1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67.050000000000011</v>
      </c>
    </row>
    <row r="190" spans="1:4" s="2" customFormat="1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67.050000000000011</v>
      </c>
    </row>
    <row r="191" spans="1:4" s="2" customFormat="1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67.050000000000011</v>
      </c>
    </row>
    <row r="192" spans="1:4" s="2" customFormat="1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67.050000000000011</v>
      </c>
    </row>
    <row r="193" spans="1:4" s="2" customFormat="1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67.050000000000011</v>
      </c>
    </row>
    <row r="194" spans="1:4" s="2" customFormat="1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67.050000000000011</v>
      </c>
    </row>
    <row r="195" spans="1:4" s="2" customFormat="1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67.050000000000011</v>
      </c>
    </row>
    <row r="196" spans="1:4" s="2" customFormat="1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67.050000000000011</v>
      </c>
    </row>
    <row r="197" spans="1:4" s="2" customFormat="1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67.050000000000011</v>
      </c>
    </row>
    <row r="198" spans="1:4" s="2" customFormat="1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67.050000000000011</v>
      </c>
    </row>
    <row r="199" spans="1:4" s="2" customFormat="1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67.050000000000011</v>
      </c>
    </row>
    <row r="200" spans="1:4" s="2" customFormat="1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67.050000000000011</v>
      </c>
    </row>
    <row r="201" spans="1:4" s="2" customFormat="1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67.050000000000011</v>
      </c>
    </row>
    <row r="202" spans="1:4" s="2" customFormat="1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67.050000000000011</v>
      </c>
    </row>
    <row r="203" spans="1:4" s="2" customFormat="1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67.050000000000011</v>
      </c>
    </row>
    <row r="204" spans="1:4" s="2" customFormat="1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67.050000000000011</v>
      </c>
    </row>
    <row r="205" spans="1:4" s="2" customFormat="1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67.050000000000011</v>
      </c>
    </row>
    <row r="206" spans="1:4" s="2" customFormat="1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67.050000000000011</v>
      </c>
    </row>
    <row r="207" spans="1:4" s="2" customFormat="1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67.050000000000011</v>
      </c>
    </row>
    <row r="208" spans="1:4" s="2" customFormat="1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67.050000000000011</v>
      </c>
    </row>
    <row r="209" spans="1:4" s="2" customFormat="1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67.050000000000011</v>
      </c>
    </row>
    <row r="210" spans="1:4" s="2" customFormat="1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67.050000000000011</v>
      </c>
    </row>
    <row r="211" spans="1:4" s="2" customFormat="1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67.050000000000011</v>
      </c>
    </row>
    <row r="212" spans="1:4" s="2" customFormat="1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67.050000000000011</v>
      </c>
    </row>
    <row r="213" spans="1:4" s="2" customFormat="1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67.050000000000011</v>
      </c>
    </row>
    <row r="214" spans="1:4" s="2" customFormat="1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67.050000000000011</v>
      </c>
    </row>
    <row r="215" spans="1:4" s="2" customFormat="1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67.050000000000011</v>
      </c>
    </row>
    <row r="216" spans="1:4" s="2" customFormat="1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67.050000000000011</v>
      </c>
    </row>
    <row r="217" spans="1:4" s="2" customFormat="1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67.050000000000011</v>
      </c>
    </row>
    <row r="218" spans="1:4" s="2" customFormat="1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67.050000000000011</v>
      </c>
    </row>
    <row r="219" spans="1:4" s="2" customFormat="1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67.050000000000011</v>
      </c>
    </row>
    <row r="220" spans="1:4" s="2" customFormat="1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67.050000000000011</v>
      </c>
    </row>
    <row r="221" spans="1:4" s="2" customFormat="1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67.050000000000011</v>
      </c>
    </row>
    <row r="222" spans="1:4" s="2" customFormat="1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67.050000000000011</v>
      </c>
    </row>
    <row r="223" spans="1:4" s="2" customFormat="1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67.050000000000011</v>
      </c>
    </row>
    <row r="224" spans="1:4" s="2" customFormat="1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67.050000000000011</v>
      </c>
    </row>
    <row r="225" spans="1:4" s="2" customFormat="1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67.050000000000011</v>
      </c>
    </row>
    <row r="226" spans="1:4" s="2" customFormat="1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67.050000000000011</v>
      </c>
    </row>
    <row r="227" spans="1:4" s="2" customFormat="1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67.050000000000011</v>
      </c>
    </row>
    <row r="228" spans="1:4" s="2" customFormat="1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67.050000000000011</v>
      </c>
    </row>
    <row r="229" spans="1:4" s="2" customFormat="1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67.050000000000011</v>
      </c>
    </row>
    <row r="230" spans="1:4" s="2" customFormat="1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67.050000000000011</v>
      </c>
    </row>
    <row r="231" spans="1:4" s="2" customFormat="1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67.050000000000011</v>
      </c>
    </row>
    <row r="232" spans="1:4" s="2" customFormat="1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67.050000000000011</v>
      </c>
    </row>
    <row r="233" spans="1:4" s="2" customFormat="1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67.050000000000011</v>
      </c>
    </row>
    <row r="234" spans="1:4" s="2" customFormat="1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67.050000000000011</v>
      </c>
    </row>
    <row r="235" spans="1:4" s="2" customFormat="1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67.050000000000011</v>
      </c>
    </row>
    <row r="236" spans="1:4" s="2" customFormat="1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67.050000000000011</v>
      </c>
    </row>
    <row r="237" spans="1:4" s="2" customFormat="1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67.050000000000011</v>
      </c>
    </row>
    <row r="238" spans="1:4" s="2" customFormat="1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67.050000000000011</v>
      </c>
    </row>
    <row r="239" spans="1:4" s="2" customFormat="1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67.050000000000011</v>
      </c>
    </row>
    <row r="240" spans="1:4" s="2" customFormat="1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67.050000000000011</v>
      </c>
    </row>
    <row r="241" spans="1:4" s="2" customFormat="1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67.050000000000011</v>
      </c>
    </row>
    <row r="242" spans="1:4" s="2" customFormat="1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67.050000000000011</v>
      </c>
    </row>
    <row r="243" spans="1:4" s="2" customFormat="1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67.050000000000011</v>
      </c>
    </row>
    <row r="244" spans="1:4" s="2" customFormat="1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67.050000000000011</v>
      </c>
    </row>
    <row r="245" spans="1:4" s="2" customFormat="1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67.050000000000011</v>
      </c>
    </row>
    <row r="246" spans="1:4" s="2" customFormat="1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67.050000000000011</v>
      </c>
    </row>
    <row r="247" spans="1:4" s="2" customFormat="1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67.050000000000011</v>
      </c>
    </row>
    <row r="248" spans="1:4" s="2" customFormat="1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67.050000000000011</v>
      </c>
    </row>
    <row r="249" spans="1:4" s="2" customFormat="1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67.050000000000011</v>
      </c>
    </row>
    <row r="250" spans="1:4" s="2" customFormat="1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67.050000000000011</v>
      </c>
    </row>
    <row r="251" spans="1:4" s="2" customFormat="1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67.050000000000011</v>
      </c>
    </row>
    <row r="252" spans="1:4" s="2" customFormat="1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67.050000000000011</v>
      </c>
    </row>
    <row r="253" spans="1:4" s="2" customFormat="1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67.050000000000011</v>
      </c>
    </row>
    <row r="254" spans="1:4" s="2" customFormat="1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67.050000000000011</v>
      </c>
    </row>
    <row r="255" spans="1:4" s="2" customFormat="1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67.050000000000011</v>
      </c>
    </row>
    <row r="256" spans="1:4" s="2" customFormat="1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67.050000000000011</v>
      </c>
    </row>
    <row r="257" spans="1:4" s="2" customFormat="1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67.050000000000011</v>
      </c>
    </row>
    <row r="258" spans="1:4" s="2" customFormat="1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67.050000000000011</v>
      </c>
    </row>
    <row r="259" spans="1:4" s="2" customFormat="1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67.050000000000011</v>
      </c>
    </row>
    <row r="260" spans="1:4" s="2" customFormat="1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67.050000000000011</v>
      </c>
    </row>
    <row r="261" spans="1:4" s="2" customFormat="1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67.050000000000011</v>
      </c>
    </row>
    <row r="262" spans="1:4" s="2" customFormat="1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67.050000000000011</v>
      </c>
    </row>
    <row r="263" spans="1:4" s="2" customFormat="1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67.050000000000011</v>
      </c>
    </row>
    <row r="264" spans="1:4" s="2" customFormat="1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67.050000000000011</v>
      </c>
    </row>
    <row r="265" spans="1:4" s="2" customFormat="1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67.050000000000011</v>
      </c>
    </row>
    <row r="266" spans="1:4" s="2" customFormat="1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67.050000000000011</v>
      </c>
    </row>
    <row r="267" spans="1:4" s="2" customFormat="1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67.050000000000011</v>
      </c>
    </row>
    <row r="268" spans="1:4" s="2" customFormat="1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67.050000000000011</v>
      </c>
    </row>
    <row r="269" spans="1:4" s="2" customFormat="1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67.050000000000011</v>
      </c>
    </row>
    <row r="270" spans="1:4" s="2" customFormat="1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67.050000000000011</v>
      </c>
    </row>
    <row r="271" spans="1:4" s="2" customFormat="1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67.050000000000011</v>
      </c>
    </row>
    <row r="272" spans="1:4" s="2" customFormat="1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67.050000000000011</v>
      </c>
    </row>
    <row r="273" spans="1:4" s="2" customFormat="1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67.050000000000011</v>
      </c>
    </row>
    <row r="274" spans="1:4" s="2" customFormat="1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67.050000000000011</v>
      </c>
    </row>
    <row r="275" spans="1:4" s="2" customFormat="1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67.050000000000011</v>
      </c>
    </row>
    <row r="276" spans="1:4" s="2" customFormat="1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67.050000000000011</v>
      </c>
    </row>
    <row r="277" spans="1:4" s="2" customFormat="1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67.050000000000011</v>
      </c>
    </row>
    <row r="278" spans="1:4" s="2" customFormat="1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67.050000000000011</v>
      </c>
    </row>
    <row r="279" spans="1:4" s="2" customFormat="1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67.050000000000011</v>
      </c>
    </row>
    <row r="280" spans="1:4" s="2" customFormat="1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67.050000000000011</v>
      </c>
    </row>
    <row r="281" spans="1:4" s="2" customFormat="1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67.050000000000011</v>
      </c>
    </row>
    <row r="282" spans="1:4" s="2" customFormat="1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67.050000000000011</v>
      </c>
    </row>
    <row r="283" spans="1:4" s="2" customFormat="1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67.050000000000011</v>
      </c>
    </row>
    <row r="284" spans="1:4" s="2" customFormat="1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67.050000000000011</v>
      </c>
    </row>
    <row r="285" spans="1:4" s="2" customFormat="1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67.050000000000011</v>
      </c>
    </row>
    <row r="286" spans="1:4" s="2" customFormat="1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67.050000000000011</v>
      </c>
    </row>
    <row r="287" spans="1:4" s="2" customFormat="1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67.050000000000011</v>
      </c>
    </row>
    <row r="288" spans="1:4" s="2" customFormat="1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67.050000000000011</v>
      </c>
    </row>
    <row r="289" spans="1:4" s="2" customFormat="1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67.050000000000011</v>
      </c>
    </row>
    <row r="290" spans="1:4" s="2" customFormat="1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67.050000000000011</v>
      </c>
    </row>
    <row r="291" spans="1:4" s="2" customFormat="1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67.050000000000011</v>
      </c>
    </row>
    <row r="292" spans="1:4" s="2" customFormat="1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67.050000000000011</v>
      </c>
    </row>
    <row r="293" spans="1:4" s="2" customFormat="1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67.050000000000011</v>
      </c>
    </row>
    <row r="294" spans="1:4" s="2" customFormat="1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67.050000000000011</v>
      </c>
    </row>
    <row r="295" spans="1:4" s="2" customFormat="1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67.050000000000011</v>
      </c>
    </row>
    <row r="296" spans="1:4" s="2" customFormat="1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67.050000000000011</v>
      </c>
    </row>
    <row r="297" spans="1:4" s="2" customFormat="1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67.050000000000011</v>
      </c>
    </row>
    <row r="298" spans="1:4" s="2" customFormat="1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67.050000000000011</v>
      </c>
    </row>
    <row r="299" spans="1:4" s="2" customFormat="1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67.050000000000011</v>
      </c>
    </row>
    <row r="300" spans="1:4" s="2" customFormat="1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67.050000000000011</v>
      </c>
    </row>
    <row r="301" spans="1:4" s="2" customFormat="1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67.050000000000011</v>
      </c>
    </row>
    <row r="302" spans="1:4" s="2" customFormat="1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67.050000000000011</v>
      </c>
    </row>
    <row r="303" spans="1:4" s="2" customFormat="1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67.050000000000011</v>
      </c>
    </row>
    <row r="304" spans="1:4" s="2" customFormat="1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67.050000000000011</v>
      </c>
    </row>
    <row r="305" spans="1:4" s="2" customFormat="1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67.050000000000011</v>
      </c>
    </row>
    <row r="306" spans="1:4" s="2" customFormat="1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67.050000000000011</v>
      </c>
    </row>
    <row r="307" spans="1:4" s="2" customFormat="1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67.050000000000011</v>
      </c>
    </row>
    <row r="308" spans="1:4" s="2" customFormat="1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67.050000000000011</v>
      </c>
    </row>
    <row r="309" spans="1:4" s="2" customFormat="1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67.050000000000011</v>
      </c>
    </row>
    <row r="310" spans="1:4" s="2" customFormat="1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67.050000000000011</v>
      </c>
    </row>
    <row r="311" spans="1:4" s="2" customFormat="1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67.050000000000011</v>
      </c>
    </row>
    <row r="312" spans="1:4" s="2" customFormat="1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67.050000000000011</v>
      </c>
    </row>
    <row r="313" spans="1:4" s="2" customFormat="1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67.050000000000011</v>
      </c>
    </row>
    <row r="314" spans="1:4" s="2" customFormat="1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67.050000000000011</v>
      </c>
    </row>
    <row r="315" spans="1:4" s="2" customFormat="1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67.050000000000011</v>
      </c>
    </row>
    <row r="316" spans="1:4" s="2" customFormat="1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67.050000000000011</v>
      </c>
    </row>
    <row r="317" spans="1:4" s="2" customFormat="1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67.050000000000011</v>
      </c>
    </row>
    <row r="318" spans="1:4" s="2" customFormat="1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67.050000000000011</v>
      </c>
    </row>
    <row r="319" spans="1:4" s="2" customFormat="1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67.050000000000011</v>
      </c>
    </row>
    <row r="320" spans="1:4" s="2" customFormat="1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67.050000000000011</v>
      </c>
    </row>
    <row r="321" spans="1:4" s="2" customFormat="1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67.050000000000011</v>
      </c>
    </row>
    <row r="322" spans="1:4" s="2" customFormat="1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67.050000000000011</v>
      </c>
    </row>
    <row r="323" spans="1:4" s="2" customFormat="1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67.050000000000011</v>
      </c>
    </row>
    <row r="324" spans="1:4" s="2" customFormat="1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67.050000000000011</v>
      </c>
    </row>
    <row r="325" spans="1:4" s="2" customFormat="1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67.050000000000011</v>
      </c>
    </row>
    <row r="326" spans="1:4" s="2" customFormat="1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67.050000000000011</v>
      </c>
    </row>
    <row r="327" spans="1:4" s="2" customFormat="1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67.050000000000011</v>
      </c>
    </row>
    <row r="328" spans="1:4" s="2" customFormat="1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67.050000000000011</v>
      </c>
    </row>
    <row r="329" spans="1:4" s="2" customFormat="1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67.050000000000011</v>
      </c>
    </row>
    <row r="330" spans="1:4" s="2" customFormat="1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67.050000000000011</v>
      </c>
    </row>
    <row r="331" spans="1:4" s="2" customFormat="1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67.050000000000011</v>
      </c>
    </row>
    <row r="332" spans="1:4" s="2" customFormat="1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67.050000000000011</v>
      </c>
    </row>
    <row r="333" spans="1:4" s="2" customFormat="1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67.050000000000011</v>
      </c>
    </row>
    <row r="334" spans="1:4" s="2" customFormat="1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67.050000000000011</v>
      </c>
    </row>
    <row r="335" spans="1:4" s="2" customFormat="1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67.050000000000011</v>
      </c>
    </row>
    <row r="336" spans="1:4" s="2" customFormat="1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67.050000000000011</v>
      </c>
    </row>
    <row r="337" spans="1:4" s="2" customFormat="1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67.050000000000011</v>
      </c>
    </row>
    <row r="338" spans="1:4" s="2" customFormat="1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67.050000000000011</v>
      </c>
    </row>
    <row r="339" spans="1:4" s="2" customFormat="1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67.050000000000011</v>
      </c>
    </row>
    <row r="340" spans="1:4" s="2" customFormat="1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67.050000000000011</v>
      </c>
    </row>
    <row r="341" spans="1:4" s="2" customFormat="1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67.050000000000011</v>
      </c>
    </row>
    <row r="342" spans="1:4" s="2" customFormat="1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67.050000000000011</v>
      </c>
    </row>
    <row r="343" spans="1:4" s="2" customFormat="1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67.050000000000011</v>
      </c>
    </row>
    <row r="344" spans="1:4" s="2" customFormat="1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67.050000000000011</v>
      </c>
    </row>
    <row r="345" spans="1:4" s="2" customFormat="1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67.050000000000011</v>
      </c>
    </row>
    <row r="346" spans="1:4" s="2" customFormat="1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67.050000000000011</v>
      </c>
    </row>
    <row r="347" spans="1:4" s="2" customFormat="1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67.050000000000011</v>
      </c>
    </row>
    <row r="348" spans="1:4" s="2" customFormat="1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67.050000000000011</v>
      </c>
    </row>
    <row r="349" spans="1:4" s="2" customFormat="1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67.050000000000011</v>
      </c>
    </row>
    <row r="350" spans="1:4" s="2" customFormat="1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67.050000000000011</v>
      </c>
    </row>
    <row r="351" spans="1:4" s="2" customFormat="1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67.050000000000011</v>
      </c>
    </row>
    <row r="352" spans="1:4" s="2" customFormat="1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67.050000000000011</v>
      </c>
    </row>
    <row r="353" spans="1:4" s="2" customFormat="1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67.050000000000011</v>
      </c>
    </row>
    <row r="354" spans="1:4" s="2" customFormat="1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67.050000000000011</v>
      </c>
    </row>
    <row r="355" spans="1:4" s="2" customFormat="1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67.050000000000011</v>
      </c>
    </row>
    <row r="356" spans="1:4" s="2" customFormat="1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67.050000000000011</v>
      </c>
    </row>
    <row r="357" spans="1:4" s="2" customFormat="1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67.050000000000011</v>
      </c>
    </row>
    <row r="358" spans="1:4" s="2" customFormat="1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67.050000000000011</v>
      </c>
    </row>
    <row r="359" spans="1:4" s="2" customFormat="1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67.050000000000011</v>
      </c>
    </row>
    <row r="360" spans="1:4" s="2" customFormat="1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67.050000000000011</v>
      </c>
    </row>
    <row r="361" spans="1:4" s="2" customFormat="1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67.050000000000011</v>
      </c>
    </row>
    <row r="362" spans="1:4" s="2" customFormat="1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67.050000000000011</v>
      </c>
    </row>
    <row r="363" spans="1:4" s="2" customFormat="1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67.050000000000011</v>
      </c>
    </row>
    <row r="364" spans="1:4" s="2" customFormat="1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67.050000000000011</v>
      </c>
    </row>
    <row r="365" spans="1:4" s="2" customFormat="1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67.050000000000011</v>
      </c>
    </row>
    <row r="366" spans="1:4" s="2" customFormat="1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67.050000000000011</v>
      </c>
    </row>
    <row r="367" spans="1:4" s="2" customFormat="1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67.050000000000011</v>
      </c>
    </row>
    <row r="368" spans="1:4" s="2" customFormat="1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67.050000000000011</v>
      </c>
    </row>
    <row r="369" spans="1:4" s="2" customFormat="1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67.050000000000011</v>
      </c>
    </row>
    <row r="370" spans="1:4" s="2" customFormat="1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67.050000000000011</v>
      </c>
    </row>
    <row r="371" spans="1:4" s="2" customFormat="1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67.050000000000011</v>
      </c>
    </row>
    <row r="372" spans="1:4" s="2" customFormat="1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67.050000000000011</v>
      </c>
    </row>
    <row r="373" spans="1:4" s="2" customFormat="1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67.050000000000011</v>
      </c>
    </row>
    <row r="374" spans="1:4" s="2" customFormat="1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67.050000000000011</v>
      </c>
    </row>
    <row r="375" spans="1:4" s="2" customFormat="1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67.050000000000011</v>
      </c>
    </row>
    <row r="376" spans="1:4" s="2" customFormat="1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67.050000000000011</v>
      </c>
    </row>
    <row r="377" spans="1:4" s="2" customFormat="1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67.050000000000011</v>
      </c>
    </row>
    <row r="378" spans="1:4" s="2" customFormat="1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67.050000000000011</v>
      </c>
    </row>
    <row r="379" spans="1:4" s="2" customFormat="1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67.050000000000011</v>
      </c>
    </row>
    <row r="380" spans="1:4" s="2" customFormat="1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67.050000000000011</v>
      </c>
    </row>
    <row r="381" spans="1:4" s="2" customFormat="1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67.050000000000011</v>
      </c>
    </row>
    <row r="382" spans="1:4" s="2" customFormat="1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67.050000000000011</v>
      </c>
    </row>
    <row r="383" spans="1:4" s="2" customFormat="1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67.050000000000011</v>
      </c>
    </row>
    <row r="384" spans="1:4" s="2" customFormat="1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67.050000000000011</v>
      </c>
    </row>
    <row r="385" spans="1:4" s="2" customFormat="1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67.050000000000011</v>
      </c>
    </row>
    <row r="386" spans="1:4" s="2" customFormat="1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67.050000000000011</v>
      </c>
    </row>
    <row r="387" spans="1:4" s="2" customFormat="1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67.050000000000011</v>
      </c>
    </row>
    <row r="388" spans="1:4" s="2" customFormat="1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67.050000000000011</v>
      </c>
    </row>
    <row r="389" spans="1:4" s="2" customFormat="1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67.050000000000011</v>
      </c>
    </row>
    <row r="390" spans="1:4" s="2" customFormat="1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67.050000000000011</v>
      </c>
    </row>
    <row r="391" spans="1:4" s="2" customFormat="1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67.050000000000011</v>
      </c>
    </row>
    <row r="392" spans="1:4" s="2" customFormat="1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67.050000000000011</v>
      </c>
    </row>
    <row r="393" spans="1:4" s="2" customFormat="1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67.050000000000011</v>
      </c>
    </row>
    <row r="394" spans="1:4" s="2" customFormat="1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67.050000000000011</v>
      </c>
    </row>
    <row r="395" spans="1:4" s="2" customFormat="1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67.050000000000011</v>
      </c>
    </row>
    <row r="396" spans="1:4" s="2" customFormat="1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67.050000000000011</v>
      </c>
    </row>
    <row r="397" spans="1:4" s="2" customFormat="1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67.050000000000011</v>
      </c>
    </row>
    <row r="398" spans="1:4" s="2" customFormat="1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67.050000000000011</v>
      </c>
    </row>
    <row r="399" spans="1:4" s="2" customFormat="1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67.050000000000011</v>
      </c>
    </row>
    <row r="400" spans="1:4" s="2" customFormat="1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67.050000000000011</v>
      </c>
    </row>
    <row r="401" spans="1:4" s="2" customFormat="1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67.050000000000011</v>
      </c>
    </row>
    <row r="402" spans="1:4" s="2" customFormat="1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67.050000000000011</v>
      </c>
    </row>
    <row r="403" spans="1:4" s="2" customFormat="1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67.050000000000011</v>
      </c>
    </row>
    <row r="404" spans="1:4" s="2" customFormat="1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67.050000000000011</v>
      </c>
    </row>
    <row r="405" spans="1:4" s="2" customFormat="1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67.050000000000011</v>
      </c>
    </row>
    <row r="406" spans="1:4" s="2" customFormat="1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67.050000000000011</v>
      </c>
    </row>
    <row r="407" spans="1:4" s="2" customFormat="1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67.050000000000011</v>
      </c>
    </row>
    <row r="408" spans="1:4" s="2" customFormat="1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67.050000000000011</v>
      </c>
    </row>
    <row r="409" spans="1:4" s="2" customFormat="1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67.050000000000011</v>
      </c>
    </row>
    <row r="410" spans="1:4" s="2" customFormat="1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67.050000000000011</v>
      </c>
    </row>
    <row r="411" spans="1:4" s="2" customFormat="1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67.050000000000011</v>
      </c>
    </row>
    <row r="412" spans="1:4" s="2" customFormat="1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67.050000000000011</v>
      </c>
    </row>
    <row r="413" spans="1:4" s="2" customFormat="1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67.050000000000011</v>
      </c>
    </row>
    <row r="414" spans="1:4" s="2" customFormat="1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67.050000000000011</v>
      </c>
    </row>
    <row r="415" spans="1:4" s="2" customFormat="1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67.050000000000011</v>
      </c>
    </row>
    <row r="416" spans="1:4" s="2" customFormat="1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67.050000000000011</v>
      </c>
    </row>
    <row r="417" spans="1:4" s="2" customFormat="1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67.050000000000011</v>
      </c>
    </row>
    <row r="418" spans="1:4" s="2" customFormat="1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67.050000000000011</v>
      </c>
    </row>
    <row r="419" spans="1:4" s="2" customFormat="1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67.050000000000011</v>
      </c>
    </row>
    <row r="420" spans="1:4" s="2" customFormat="1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67.050000000000011</v>
      </c>
    </row>
    <row r="421" spans="1:4" s="2" customFormat="1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67.050000000000011</v>
      </c>
    </row>
    <row r="422" spans="1:4" s="2" customFormat="1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67.050000000000011</v>
      </c>
    </row>
    <row r="423" spans="1:4" s="2" customFormat="1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67.050000000000011</v>
      </c>
    </row>
    <row r="424" spans="1:4" s="2" customFormat="1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67.050000000000011</v>
      </c>
    </row>
    <row r="425" spans="1:4" s="2" customFormat="1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67.050000000000011</v>
      </c>
    </row>
    <row r="426" spans="1:4" s="2" customFormat="1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67.050000000000011</v>
      </c>
    </row>
    <row r="427" spans="1:4" s="2" customFormat="1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67.050000000000011</v>
      </c>
    </row>
    <row r="428" spans="1:4" s="2" customFormat="1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67.050000000000011</v>
      </c>
    </row>
    <row r="429" spans="1:4" s="2" customFormat="1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67.050000000000011</v>
      </c>
    </row>
    <row r="430" spans="1:4" s="2" customFormat="1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67.050000000000011</v>
      </c>
    </row>
    <row r="431" spans="1:4" s="2" customFormat="1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67.050000000000011</v>
      </c>
    </row>
    <row r="432" spans="1:4" s="2" customFormat="1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67.050000000000011</v>
      </c>
    </row>
    <row r="433" spans="1:4" s="2" customFormat="1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67.050000000000011</v>
      </c>
    </row>
    <row r="434" spans="1:4" s="2" customFormat="1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67.050000000000011</v>
      </c>
    </row>
    <row r="435" spans="1:4" s="2" customFormat="1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67.050000000000011</v>
      </c>
    </row>
    <row r="436" spans="1:4" s="2" customFormat="1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67.050000000000011</v>
      </c>
    </row>
    <row r="437" spans="1:4" s="2" customFormat="1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67.050000000000011</v>
      </c>
    </row>
    <row r="438" spans="1:4" s="2" customFormat="1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67.050000000000011</v>
      </c>
    </row>
    <row r="439" spans="1:4" s="2" customFormat="1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67.050000000000011</v>
      </c>
    </row>
    <row r="440" spans="1:4" s="2" customFormat="1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67.050000000000011</v>
      </c>
    </row>
    <row r="441" spans="1:4" s="2" customFormat="1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67.050000000000011</v>
      </c>
    </row>
    <row r="442" spans="1:4" s="2" customFormat="1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67.050000000000011</v>
      </c>
    </row>
    <row r="443" spans="1:4" s="2" customFormat="1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67.050000000000011</v>
      </c>
    </row>
    <row r="444" spans="1:4" s="2" customFormat="1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67.050000000000011</v>
      </c>
    </row>
    <row r="445" spans="1:4" s="2" customFormat="1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67.050000000000011</v>
      </c>
    </row>
    <row r="446" spans="1:4" s="2" customFormat="1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67.050000000000011</v>
      </c>
    </row>
    <row r="447" spans="1:4" s="2" customFormat="1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67.050000000000011</v>
      </c>
    </row>
    <row r="448" spans="1:4" s="2" customFormat="1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67.050000000000011</v>
      </c>
    </row>
    <row r="449" spans="1:4" s="2" customFormat="1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67.050000000000011</v>
      </c>
    </row>
    <row r="450" spans="1:4" s="2" customFormat="1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67.050000000000011</v>
      </c>
    </row>
    <row r="451" spans="1:4" s="2" customFormat="1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67.050000000000011</v>
      </c>
    </row>
    <row r="452" spans="1:4" s="2" customFormat="1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67.050000000000011</v>
      </c>
    </row>
    <row r="453" spans="1:4" s="2" customFormat="1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67.050000000000011</v>
      </c>
    </row>
    <row r="454" spans="1:4" s="2" customFormat="1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67.050000000000011</v>
      </c>
    </row>
    <row r="455" spans="1:4" s="2" customFormat="1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67.050000000000011</v>
      </c>
    </row>
    <row r="456" spans="1:4" s="2" customFormat="1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67.050000000000011</v>
      </c>
    </row>
    <row r="457" spans="1:4" s="2" customFormat="1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67.050000000000011</v>
      </c>
    </row>
    <row r="458" spans="1:4" s="2" customFormat="1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67.050000000000011</v>
      </c>
    </row>
    <row r="459" spans="1:4" s="2" customFormat="1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67.050000000000011</v>
      </c>
    </row>
    <row r="460" spans="1:4" s="2" customFormat="1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67.050000000000011</v>
      </c>
    </row>
    <row r="461" spans="1:4" s="2" customFormat="1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67.050000000000011</v>
      </c>
    </row>
    <row r="462" spans="1:4" s="2" customFormat="1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67.050000000000011</v>
      </c>
    </row>
    <row r="463" spans="1:4" s="2" customFormat="1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67.050000000000011</v>
      </c>
    </row>
    <row r="464" spans="1:4" s="2" customFormat="1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67.050000000000011</v>
      </c>
    </row>
    <row r="465" spans="1:4" s="2" customFormat="1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67.050000000000011</v>
      </c>
    </row>
    <row r="466" spans="1:4" s="2" customFormat="1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67.050000000000011</v>
      </c>
    </row>
    <row r="467" spans="1:4" s="2" customFormat="1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67.050000000000011</v>
      </c>
    </row>
    <row r="468" spans="1:4" s="2" customFormat="1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67.050000000000011</v>
      </c>
    </row>
    <row r="469" spans="1:4" s="2" customFormat="1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67.050000000000011</v>
      </c>
    </row>
    <row r="470" spans="1:4" s="2" customFormat="1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67.050000000000011</v>
      </c>
    </row>
    <row r="471" spans="1:4" s="2" customFormat="1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67.050000000000011</v>
      </c>
    </row>
    <row r="472" spans="1:4" s="2" customFormat="1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67.050000000000011</v>
      </c>
    </row>
    <row r="473" spans="1:4" s="2" customFormat="1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67.050000000000011</v>
      </c>
    </row>
    <row r="474" spans="1:4" s="2" customFormat="1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67.050000000000011</v>
      </c>
    </row>
    <row r="475" spans="1:4" s="2" customFormat="1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67.050000000000011</v>
      </c>
    </row>
    <row r="476" spans="1:4" s="2" customFormat="1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67.050000000000011</v>
      </c>
    </row>
    <row r="477" spans="1:4" s="2" customFormat="1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67.050000000000011</v>
      </c>
    </row>
    <row r="478" spans="1:4" s="2" customFormat="1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67.050000000000011</v>
      </c>
    </row>
    <row r="479" spans="1:4" s="2" customFormat="1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67.050000000000011</v>
      </c>
    </row>
    <row r="480" spans="1:4" s="2" customFormat="1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67.050000000000011</v>
      </c>
    </row>
    <row r="481" spans="1:4" s="2" customFormat="1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67.050000000000011</v>
      </c>
    </row>
    <row r="482" spans="1:4" s="2" customFormat="1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67.050000000000011</v>
      </c>
    </row>
    <row r="483" spans="1:4" s="2" customFormat="1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67.050000000000011</v>
      </c>
    </row>
    <row r="484" spans="1:4" s="2" customFormat="1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67.050000000000011</v>
      </c>
    </row>
    <row r="485" spans="1:4" s="2" customFormat="1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67.050000000000011</v>
      </c>
    </row>
    <row r="486" spans="1:4" s="2" customFormat="1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67.050000000000011</v>
      </c>
    </row>
    <row r="487" spans="1:4" s="2" customFormat="1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67.050000000000011</v>
      </c>
    </row>
    <row r="488" spans="1:4" s="2" customFormat="1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67.050000000000011</v>
      </c>
    </row>
    <row r="489" spans="1:4" s="2" customFormat="1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67.050000000000011</v>
      </c>
    </row>
    <row r="490" spans="1:4" s="2" customFormat="1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67.050000000000011</v>
      </c>
    </row>
    <row r="491" spans="1:4" s="2" customFormat="1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67.050000000000011</v>
      </c>
    </row>
    <row r="492" spans="1:4" s="2" customFormat="1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67.050000000000011</v>
      </c>
    </row>
    <row r="493" spans="1:4" s="2" customFormat="1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67.050000000000011</v>
      </c>
    </row>
    <row r="494" spans="1:4" s="2" customFormat="1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67.050000000000011</v>
      </c>
    </row>
    <row r="495" spans="1:4" s="2" customFormat="1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67.050000000000011</v>
      </c>
    </row>
    <row r="496" spans="1:4" s="2" customFormat="1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67.050000000000011</v>
      </c>
    </row>
    <row r="497" spans="1:4" s="2" customFormat="1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67.050000000000011</v>
      </c>
    </row>
    <row r="498" spans="1:4" s="2" customFormat="1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67.050000000000011</v>
      </c>
    </row>
    <row r="499" spans="1:4" s="2" customFormat="1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67.050000000000011</v>
      </c>
    </row>
    <row r="500" spans="1:4" s="2" customFormat="1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67.050000000000011</v>
      </c>
    </row>
    <row r="501" spans="1:4" s="2" customFormat="1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67.050000000000011</v>
      </c>
    </row>
    <row r="502" spans="1:4" s="2" customFormat="1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67.050000000000011</v>
      </c>
    </row>
    <row r="503" spans="1:4" s="2" customFormat="1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67.050000000000011</v>
      </c>
    </row>
    <row r="504" spans="1:4" s="2" customFormat="1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67.050000000000011</v>
      </c>
    </row>
    <row r="505" spans="1:4" s="2" customFormat="1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67.050000000000011</v>
      </c>
    </row>
    <row r="506" spans="1:4" s="2" customFormat="1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67.050000000000011</v>
      </c>
    </row>
    <row r="507" spans="1:4" s="2" customFormat="1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67.050000000000011</v>
      </c>
    </row>
    <row r="508" spans="1:4" s="2" customFormat="1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67.050000000000011</v>
      </c>
    </row>
    <row r="509" spans="1:4" s="2" customFormat="1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67.050000000000011</v>
      </c>
    </row>
    <row r="510" spans="1:4" s="2" customFormat="1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67.050000000000011</v>
      </c>
    </row>
    <row r="511" spans="1:4" s="2" customFormat="1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67.050000000000011</v>
      </c>
    </row>
    <row r="512" spans="1:4" s="2" customFormat="1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67.050000000000011</v>
      </c>
    </row>
    <row r="513" spans="1:4" s="2" customFormat="1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67.050000000000011</v>
      </c>
    </row>
    <row r="514" spans="1:4" s="2" customFormat="1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67.050000000000011</v>
      </c>
    </row>
    <row r="515" spans="1:4" s="2" customFormat="1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67.050000000000011</v>
      </c>
    </row>
    <row r="516" spans="1:4" s="2" customFormat="1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67.050000000000011</v>
      </c>
    </row>
    <row r="517" spans="1:4" s="2" customFormat="1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67.050000000000011</v>
      </c>
    </row>
    <row r="518" spans="1:4" s="2" customFormat="1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67.050000000000011</v>
      </c>
    </row>
    <row r="519" spans="1:4" s="2" customFormat="1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67.050000000000011</v>
      </c>
    </row>
    <row r="520" spans="1:4" s="2" customFormat="1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67.050000000000011</v>
      </c>
    </row>
    <row r="521" spans="1:4" s="2" customFormat="1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67.050000000000011</v>
      </c>
    </row>
    <row r="522" spans="1:4" s="2" customFormat="1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67.050000000000011</v>
      </c>
    </row>
    <row r="523" spans="1:4" s="2" customFormat="1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67.050000000000011</v>
      </c>
    </row>
    <row r="524" spans="1:4" s="2" customFormat="1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67.050000000000011</v>
      </c>
    </row>
    <row r="525" spans="1:4" s="2" customFormat="1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67.050000000000011</v>
      </c>
    </row>
    <row r="526" spans="1:4" s="2" customFormat="1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67.050000000000011</v>
      </c>
    </row>
    <row r="527" spans="1:4" s="2" customFormat="1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67.050000000000011</v>
      </c>
    </row>
    <row r="528" spans="1:4" s="2" customFormat="1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67.050000000000011</v>
      </c>
    </row>
    <row r="529" spans="1:4" s="2" customFormat="1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67.050000000000011</v>
      </c>
    </row>
    <row r="530" spans="1:4" s="2" customFormat="1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67.050000000000011</v>
      </c>
    </row>
    <row r="531" spans="1:4" s="2" customFormat="1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67.050000000000011</v>
      </c>
    </row>
    <row r="532" spans="1:4" s="2" customFormat="1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67.050000000000011</v>
      </c>
    </row>
    <row r="533" spans="1:4" s="2" customFormat="1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67.050000000000011</v>
      </c>
    </row>
    <row r="534" spans="1:4" s="2" customFormat="1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67.050000000000011</v>
      </c>
    </row>
    <row r="535" spans="1:4" s="2" customFormat="1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67.050000000000011</v>
      </c>
    </row>
    <row r="536" spans="1:4" s="2" customFormat="1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67.050000000000011</v>
      </c>
    </row>
    <row r="537" spans="1:4" s="2" customFormat="1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67.050000000000011</v>
      </c>
    </row>
    <row r="538" spans="1:4" s="2" customFormat="1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67.050000000000011</v>
      </c>
    </row>
    <row r="539" spans="1:4" s="2" customFormat="1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67.050000000000011</v>
      </c>
    </row>
    <row r="540" spans="1:4" s="2" customFormat="1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67.050000000000011</v>
      </c>
    </row>
    <row r="541" spans="1:4" s="2" customFormat="1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67.050000000000011</v>
      </c>
    </row>
    <row r="542" spans="1:4" s="2" customFormat="1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67.050000000000011</v>
      </c>
    </row>
    <row r="543" spans="1:4" s="2" customFormat="1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67.050000000000011</v>
      </c>
    </row>
    <row r="544" spans="1:4" s="2" customFormat="1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67.050000000000011</v>
      </c>
    </row>
    <row r="545" spans="1:4" s="2" customFormat="1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67.050000000000011</v>
      </c>
    </row>
    <row r="546" spans="1:4" s="2" customFormat="1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67.050000000000011</v>
      </c>
    </row>
    <row r="547" spans="1:4" s="2" customFormat="1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67.050000000000011</v>
      </c>
    </row>
    <row r="548" spans="1:4" s="2" customFormat="1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67.050000000000011</v>
      </c>
    </row>
    <row r="549" spans="1:4" s="2" customFormat="1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67.050000000000011</v>
      </c>
    </row>
    <row r="550" spans="1:4" s="2" customFormat="1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67.050000000000011</v>
      </c>
    </row>
    <row r="551" spans="1:4" s="2" customFormat="1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67.050000000000011</v>
      </c>
    </row>
    <row r="552" spans="1:4" s="2" customFormat="1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67.050000000000011</v>
      </c>
    </row>
    <row r="553" spans="1:4" s="2" customFormat="1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67.050000000000011</v>
      </c>
    </row>
    <row r="554" spans="1:4" s="2" customFormat="1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67.050000000000011</v>
      </c>
    </row>
    <row r="555" spans="1:4" s="2" customFormat="1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67.050000000000011</v>
      </c>
    </row>
    <row r="556" spans="1:4" s="2" customFormat="1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67.050000000000011</v>
      </c>
    </row>
    <row r="557" spans="1:4" s="2" customFormat="1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67.050000000000011</v>
      </c>
    </row>
    <row r="558" spans="1:4" s="2" customFormat="1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67.050000000000011</v>
      </c>
    </row>
    <row r="559" spans="1:4" s="2" customFormat="1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67.050000000000011</v>
      </c>
    </row>
    <row r="560" spans="1:4" s="2" customFormat="1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67.050000000000011</v>
      </c>
    </row>
    <row r="561" spans="1:4" s="2" customFormat="1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67.050000000000011</v>
      </c>
    </row>
    <row r="562" spans="1:4" s="2" customFormat="1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67.050000000000011</v>
      </c>
    </row>
    <row r="563" spans="1:4" s="2" customFormat="1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67.050000000000011</v>
      </c>
    </row>
    <row r="564" spans="1:4" s="2" customFormat="1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67.050000000000011</v>
      </c>
    </row>
    <row r="565" spans="1:4" s="2" customFormat="1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67.050000000000011</v>
      </c>
    </row>
    <row r="566" spans="1:4" s="2" customFormat="1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67.050000000000011</v>
      </c>
    </row>
    <row r="567" spans="1:4" s="2" customFormat="1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67.050000000000011</v>
      </c>
    </row>
    <row r="568" spans="1:4" s="2" customFormat="1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67.050000000000011</v>
      </c>
    </row>
    <row r="569" spans="1:4" s="2" customFormat="1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67.050000000000011</v>
      </c>
    </row>
    <row r="570" spans="1:4" s="2" customFormat="1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67.050000000000011</v>
      </c>
    </row>
    <row r="571" spans="1:4" s="2" customFormat="1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67.050000000000011</v>
      </c>
    </row>
    <row r="572" spans="1:4" s="2" customFormat="1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67.050000000000011</v>
      </c>
    </row>
    <row r="573" spans="1:4" s="2" customFormat="1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67.050000000000011</v>
      </c>
    </row>
    <row r="574" spans="1:4" s="2" customFormat="1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67.050000000000011</v>
      </c>
    </row>
    <row r="575" spans="1:4" s="2" customFormat="1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67.050000000000011</v>
      </c>
    </row>
    <row r="576" spans="1:4" s="2" customFormat="1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67.050000000000011</v>
      </c>
    </row>
    <row r="577" spans="1:4" s="2" customFormat="1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67.050000000000011</v>
      </c>
    </row>
    <row r="578" spans="1:4" s="2" customFormat="1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67.050000000000011</v>
      </c>
    </row>
    <row r="579" spans="1:4" s="2" customFormat="1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67.050000000000011</v>
      </c>
    </row>
    <row r="580" spans="1:4" s="2" customFormat="1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67.050000000000011</v>
      </c>
    </row>
    <row r="581" spans="1:4" s="2" customFormat="1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67.050000000000011</v>
      </c>
    </row>
    <row r="582" spans="1:4" s="2" customFormat="1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67.050000000000011</v>
      </c>
    </row>
    <row r="583" spans="1:4" s="2" customFormat="1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67.050000000000011</v>
      </c>
    </row>
    <row r="584" spans="1:4" s="2" customFormat="1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67.050000000000011</v>
      </c>
    </row>
    <row r="585" spans="1:4" s="2" customFormat="1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67.050000000000011</v>
      </c>
    </row>
    <row r="586" spans="1:4" s="2" customFormat="1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67.050000000000011</v>
      </c>
    </row>
    <row r="587" spans="1:4" s="2" customFormat="1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67.050000000000011</v>
      </c>
    </row>
    <row r="588" spans="1:4" s="2" customFormat="1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67.050000000000011</v>
      </c>
    </row>
    <row r="589" spans="1:4" s="2" customFormat="1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67.050000000000011</v>
      </c>
    </row>
    <row r="590" spans="1:4" s="2" customFormat="1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67.050000000000011</v>
      </c>
    </row>
    <row r="591" spans="1:4" s="2" customFormat="1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67.050000000000011</v>
      </c>
    </row>
    <row r="592" spans="1:4" s="2" customFormat="1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67.050000000000011</v>
      </c>
    </row>
    <row r="593" spans="1:4" s="2" customFormat="1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67.050000000000011</v>
      </c>
    </row>
    <row r="594" spans="1:4" s="2" customFormat="1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67.050000000000011</v>
      </c>
    </row>
    <row r="595" spans="1:4" s="2" customFormat="1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67.050000000000011</v>
      </c>
    </row>
    <row r="596" spans="1:4" s="2" customFormat="1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67.050000000000011</v>
      </c>
    </row>
    <row r="597" spans="1:4" s="2" customFormat="1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67.050000000000011</v>
      </c>
    </row>
    <row r="598" spans="1:4" s="2" customFormat="1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67.050000000000011</v>
      </c>
    </row>
    <row r="599" spans="1:4" s="2" customFormat="1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67.050000000000011</v>
      </c>
    </row>
    <row r="600" spans="1:4" s="2" customFormat="1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67.050000000000011</v>
      </c>
    </row>
    <row r="601" spans="1:4" s="2" customFormat="1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67.050000000000011</v>
      </c>
    </row>
    <row r="602" spans="1:4" s="2" customFormat="1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67.050000000000011</v>
      </c>
    </row>
    <row r="603" spans="1:4" s="2" customFormat="1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67.050000000000011</v>
      </c>
    </row>
    <row r="604" spans="1:4" s="2" customFormat="1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67.050000000000011</v>
      </c>
    </row>
    <row r="605" spans="1:4" s="2" customFormat="1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67.050000000000011</v>
      </c>
    </row>
    <row r="606" spans="1:4" s="2" customFormat="1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67.050000000000011</v>
      </c>
    </row>
    <row r="607" spans="1:4" s="2" customFormat="1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67.050000000000011</v>
      </c>
    </row>
    <row r="608" spans="1:4" s="2" customFormat="1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67.050000000000011</v>
      </c>
    </row>
    <row r="609" spans="1:4" s="2" customFormat="1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67.050000000000011</v>
      </c>
    </row>
    <row r="610" spans="1:4" s="2" customFormat="1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67.050000000000011</v>
      </c>
    </row>
    <row r="611" spans="1:4" s="2" customFormat="1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67.050000000000011</v>
      </c>
    </row>
    <row r="612" spans="1:4" s="2" customFormat="1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67.050000000000011</v>
      </c>
    </row>
    <row r="613" spans="1:4" s="2" customFormat="1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67.050000000000011</v>
      </c>
    </row>
    <row r="614" spans="1:4" s="2" customFormat="1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67.050000000000011</v>
      </c>
    </row>
    <row r="615" spans="1:4" s="2" customFormat="1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67.050000000000011</v>
      </c>
    </row>
    <row r="616" spans="1:4" s="2" customFormat="1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67.050000000000011</v>
      </c>
    </row>
    <row r="617" spans="1:4" s="2" customFormat="1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67.050000000000011</v>
      </c>
    </row>
    <row r="618" spans="1:4" s="2" customFormat="1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67.050000000000011</v>
      </c>
    </row>
    <row r="619" spans="1:4" s="2" customFormat="1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67.050000000000011</v>
      </c>
    </row>
    <row r="620" spans="1:4" s="2" customFormat="1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67.050000000000011</v>
      </c>
    </row>
    <row r="621" spans="1:4" s="2" customFormat="1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67.050000000000011</v>
      </c>
    </row>
    <row r="622" spans="1:4" s="2" customFormat="1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67.050000000000011</v>
      </c>
    </row>
    <row r="623" spans="1:4" s="2" customFormat="1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67.050000000000011</v>
      </c>
    </row>
    <row r="624" spans="1:4" s="2" customFormat="1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67.050000000000011</v>
      </c>
    </row>
    <row r="625" spans="1:4" s="2" customFormat="1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67.050000000000011</v>
      </c>
    </row>
    <row r="626" spans="1:4" s="2" customFormat="1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67.050000000000011</v>
      </c>
    </row>
    <row r="627" spans="1:4" s="2" customFormat="1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67.050000000000011</v>
      </c>
    </row>
    <row r="628" spans="1:4" s="2" customFormat="1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67.050000000000011</v>
      </c>
    </row>
    <row r="629" spans="1:4" s="2" customFormat="1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67.050000000000011</v>
      </c>
    </row>
    <row r="630" spans="1:4" s="2" customFormat="1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67.050000000000011</v>
      </c>
    </row>
    <row r="631" spans="1:4" s="2" customFormat="1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67.050000000000011</v>
      </c>
    </row>
    <row r="632" spans="1:4" s="2" customFormat="1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67.050000000000011</v>
      </c>
    </row>
    <row r="633" spans="1:4" s="2" customFormat="1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67.050000000000011</v>
      </c>
    </row>
    <row r="634" spans="1:4" s="2" customFormat="1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67.050000000000011</v>
      </c>
    </row>
    <row r="635" spans="1:4" s="2" customFormat="1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67.050000000000011</v>
      </c>
    </row>
    <row r="636" spans="1:4" s="2" customFormat="1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67.050000000000011</v>
      </c>
    </row>
    <row r="637" spans="1:4" s="2" customFormat="1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67.050000000000011</v>
      </c>
    </row>
    <row r="638" spans="1:4" s="2" customFormat="1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67.050000000000011</v>
      </c>
    </row>
    <row r="639" spans="1:4" s="2" customFormat="1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67.050000000000011</v>
      </c>
    </row>
    <row r="640" spans="1:4" s="2" customFormat="1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67.050000000000011</v>
      </c>
    </row>
    <row r="641" spans="1:4" s="2" customFormat="1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67.050000000000011</v>
      </c>
    </row>
    <row r="642" spans="1:4" s="2" customFormat="1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67.050000000000011</v>
      </c>
    </row>
    <row r="643" spans="1:4" s="2" customFormat="1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67.050000000000011</v>
      </c>
    </row>
    <row r="644" spans="1:4" s="2" customFormat="1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67.050000000000011</v>
      </c>
    </row>
    <row r="645" spans="1:4" s="2" customFormat="1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67.050000000000011</v>
      </c>
    </row>
    <row r="646" spans="1:4" s="2" customFormat="1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67.050000000000011</v>
      </c>
    </row>
    <row r="647" spans="1:4" s="2" customFormat="1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67.050000000000011</v>
      </c>
    </row>
    <row r="648" spans="1:4" s="2" customFormat="1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67.050000000000011</v>
      </c>
    </row>
    <row r="649" spans="1:4" s="2" customFormat="1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67.050000000000011</v>
      </c>
    </row>
    <row r="650" spans="1:4" s="2" customFormat="1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67.050000000000011</v>
      </c>
    </row>
    <row r="651" spans="1:4" s="2" customFormat="1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67.050000000000011</v>
      </c>
    </row>
    <row r="652" spans="1:4" s="2" customFormat="1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67.050000000000011</v>
      </c>
    </row>
    <row r="653" spans="1:4" s="2" customFormat="1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67.050000000000011</v>
      </c>
    </row>
    <row r="654" spans="1:4" s="2" customFormat="1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67.050000000000011</v>
      </c>
    </row>
    <row r="655" spans="1:4" s="2" customFormat="1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67.050000000000011</v>
      </c>
    </row>
    <row r="656" spans="1:4" s="2" customFormat="1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67.050000000000011</v>
      </c>
    </row>
    <row r="657" spans="1:4" s="2" customFormat="1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67.050000000000011</v>
      </c>
    </row>
    <row r="658" spans="1:4" s="2" customFormat="1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67.050000000000011</v>
      </c>
    </row>
    <row r="659" spans="1:4" s="2" customFormat="1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67.050000000000011</v>
      </c>
    </row>
    <row r="660" spans="1:4" s="2" customFormat="1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67.050000000000011</v>
      </c>
    </row>
    <row r="661" spans="1:4" s="2" customFormat="1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67.050000000000011</v>
      </c>
    </row>
    <row r="662" spans="1:4" s="2" customFormat="1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67.050000000000011</v>
      </c>
    </row>
    <row r="663" spans="1:4" s="2" customFormat="1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67.050000000000011</v>
      </c>
    </row>
    <row r="664" spans="1:4" s="2" customFormat="1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67.050000000000011</v>
      </c>
    </row>
    <row r="665" spans="1:4" s="2" customFormat="1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67.050000000000011</v>
      </c>
    </row>
    <row r="666" spans="1:4" s="2" customFormat="1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67.050000000000011</v>
      </c>
    </row>
    <row r="667" spans="1:4" s="2" customFormat="1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67.050000000000011</v>
      </c>
    </row>
    <row r="668" spans="1:4" s="2" customFormat="1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67.050000000000011</v>
      </c>
    </row>
    <row r="669" spans="1:4" s="2" customFormat="1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67.050000000000011</v>
      </c>
    </row>
    <row r="670" spans="1:4" s="2" customFormat="1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67.050000000000011</v>
      </c>
    </row>
    <row r="671" spans="1:4" s="2" customFormat="1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67.050000000000011</v>
      </c>
    </row>
    <row r="672" spans="1:4" s="2" customFormat="1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67.050000000000011</v>
      </c>
    </row>
    <row r="673" spans="1:4" s="2" customFormat="1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67.050000000000011</v>
      </c>
    </row>
    <row r="674" spans="1:4" s="2" customFormat="1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67.050000000000011</v>
      </c>
    </row>
    <row r="675" spans="1:4" s="2" customFormat="1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67.050000000000011</v>
      </c>
    </row>
    <row r="676" spans="1:4" s="2" customFormat="1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67.050000000000011</v>
      </c>
    </row>
    <row r="677" spans="1:4" s="2" customFormat="1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67.050000000000011</v>
      </c>
    </row>
    <row r="678" spans="1:4" s="2" customFormat="1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67.050000000000011</v>
      </c>
    </row>
    <row r="679" spans="1:4" s="2" customFormat="1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67.050000000000011</v>
      </c>
    </row>
    <row r="680" spans="1:4" s="2" customFormat="1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67.050000000000011</v>
      </c>
    </row>
    <row r="681" spans="1:4" s="2" customFormat="1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67.050000000000011</v>
      </c>
    </row>
    <row r="682" spans="1:4" s="2" customFormat="1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67.050000000000011</v>
      </c>
    </row>
    <row r="683" spans="1:4" s="2" customFormat="1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67.050000000000011</v>
      </c>
    </row>
    <row r="684" spans="1:4" s="2" customFormat="1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67.050000000000011</v>
      </c>
    </row>
    <row r="685" spans="1:4" s="2" customFormat="1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67.050000000000011</v>
      </c>
    </row>
    <row r="686" spans="1:4" s="2" customFormat="1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67.050000000000011</v>
      </c>
    </row>
    <row r="687" spans="1:4" s="2" customFormat="1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67.050000000000011</v>
      </c>
    </row>
    <row r="688" spans="1:4" s="2" customFormat="1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67.050000000000011</v>
      </c>
    </row>
    <row r="689" spans="1:4" s="2" customFormat="1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67.050000000000011</v>
      </c>
    </row>
    <row r="690" spans="1:4" s="2" customFormat="1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67.050000000000011</v>
      </c>
    </row>
    <row r="691" spans="1:4" s="2" customFormat="1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67.050000000000011</v>
      </c>
    </row>
    <row r="692" spans="1:4" s="2" customFormat="1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67.050000000000011</v>
      </c>
    </row>
    <row r="693" spans="1:4" s="2" customFormat="1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67.050000000000011</v>
      </c>
    </row>
    <row r="694" spans="1:4" s="2" customFormat="1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67.050000000000011</v>
      </c>
    </row>
    <row r="695" spans="1:4" s="2" customFormat="1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67.050000000000011</v>
      </c>
    </row>
    <row r="696" spans="1:4" s="2" customFormat="1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67.050000000000011</v>
      </c>
    </row>
    <row r="697" spans="1:4" s="2" customFormat="1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67.050000000000011</v>
      </c>
    </row>
    <row r="698" spans="1:4" s="2" customFormat="1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67.050000000000011</v>
      </c>
    </row>
    <row r="699" spans="1:4" s="2" customFormat="1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67.050000000000011</v>
      </c>
    </row>
    <row r="700" spans="1:4" s="2" customFormat="1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67.050000000000011</v>
      </c>
    </row>
    <row r="701" spans="1:4" s="2" customFormat="1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67.050000000000011</v>
      </c>
    </row>
    <row r="702" spans="1:4" s="2" customFormat="1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67.050000000000011</v>
      </c>
    </row>
    <row r="703" spans="1:4" s="2" customFormat="1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67.050000000000011</v>
      </c>
    </row>
    <row r="704" spans="1:4" s="2" customFormat="1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67.050000000000011</v>
      </c>
    </row>
    <row r="705" spans="1:4" s="2" customFormat="1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67.050000000000011</v>
      </c>
    </row>
    <row r="706" spans="1:4" s="2" customFormat="1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67.050000000000011</v>
      </c>
    </row>
    <row r="707" spans="1:4" s="2" customFormat="1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67.050000000000011</v>
      </c>
    </row>
    <row r="708" spans="1:4" s="2" customFormat="1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67.050000000000011</v>
      </c>
    </row>
    <row r="709" spans="1:4" s="2" customFormat="1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67.050000000000011</v>
      </c>
    </row>
    <row r="710" spans="1:4" s="2" customFormat="1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67.050000000000011</v>
      </c>
    </row>
    <row r="711" spans="1:4" s="2" customFormat="1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67.050000000000011</v>
      </c>
    </row>
    <row r="712" spans="1:4" s="2" customFormat="1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67.050000000000011</v>
      </c>
    </row>
    <row r="713" spans="1:4" s="2" customFormat="1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67.050000000000011</v>
      </c>
    </row>
    <row r="714" spans="1:4" s="2" customFormat="1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67.050000000000011</v>
      </c>
    </row>
    <row r="715" spans="1:4" s="2" customFormat="1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67.050000000000011</v>
      </c>
    </row>
    <row r="716" spans="1:4" s="2" customFormat="1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67.050000000000011</v>
      </c>
    </row>
    <row r="717" spans="1:4" s="2" customFormat="1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67.050000000000011</v>
      </c>
    </row>
    <row r="718" spans="1:4" s="2" customFormat="1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67.050000000000011</v>
      </c>
    </row>
    <row r="719" spans="1:4" s="2" customFormat="1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67.050000000000011</v>
      </c>
    </row>
    <row r="720" spans="1:4" s="2" customFormat="1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67.050000000000011</v>
      </c>
    </row>
    <row r="721" spans="1:4" s="2" customFormat="1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67.050000000000011</v>
      </c>
    </row>
    <row r="722" spans="1:4" s="2" customFormat="1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67.050000000000011</v>
      </c>
    </row>
    <row r="723" spans="1:4" s="2" customFormat="1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67.050000000000011</v>
      </c>
    </row>
    <row r="724" spans="1:4" s="2" customFormat="1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67.050000000000011</v>
      </c>
    </row>
    <row r="725" spans="1:4" s="2" customFormat="1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67.050000000000011</v>
      </c>
    </row>
    <row r="726" spans="1:4" s="2" customFormat="1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67.050000000000011</v>
      </c>
    </row>
    <row r="727" spans="1:4" s="2" customFormat="1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67.050000000000011</v>
      </c>
    </row>
    <row r="728" spans="1:4" s="2" customFormat="1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67.050000000000011</v>
      </c>
    </row>
    <row r="729" spans="1:4" s="2" customFormat="1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67.050000000000011</v>
      </c>
    </row>
    <row r="730" spans="1:4" s="2" customFormat="1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67.050000000000011</v>
      </c>
    </row>
    <row r="731" spans="1:4" s="2" customFormat="1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67.050000000000011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6D9B-531C-4AC3-9CDB-6D9BFA5E6796}">
  <dimension ref="A1:F731"/>
  <sheetViews>
    <sheetView zoomScale="150" zoomScaleNormal="150" workbookViewId="0">
      <selection activeCell="D4" sqref="D4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4" x14ac:dyDescent="0.25">
      <c r="A1" t="s">
        <v>6</v>
      </c>
      <c r="B1" s="2">
        <v>0.02</v>
      </c>
      <c r="C1" s="2" t="s">
        <v>7</v>
      </c>
    </row>
    <row r="2" spans="1:4" x14ac:dyDescent="0.25">
      <c r="A2" t="s">
        <v>1</v>
      </c>
      <c r="B2" s="2">
        <v>149</v>
      </c>
      <c r="C2" s="2" t="s">
        <v>10</v>
      </c>
    </row>
    <row r="3" spans="1:4" x14ac:dyDescent="0.25">
      <c r="A3" t="s">
        <v>4</v>
      </c>
      <c r="B3" s="3">
        <v>0.25</v>
      </c>
      <c r="C3" s="2" t="s">
        <v>5</v>
      </c>
      <c r="D3" s="2" t="s">
        <v>22</v>
      </c>
    </row>
    <row r="4" spans="1:4" x14ac:dyDescent="0.25">
      <c r="A4" t="s">
        <v>29</v>
      </c>
      <c r="B4" s="3">
        <v>16.885999999999999</v>
      </c>
    </row>
    <row r="5" spans="1:4" x14ac:dyDescent="0.25">
      <c r="A5" t="s">
        <v>30</v>
      </c>
      <c r="B5" s="4">
        <f>B4+1.65*B3</f>
        <v>17.298500000000001</v>
      </c>
      <c r="C5" s="2" t="s">
        <v>16</v>
      </c>
      <c r="D5" s="2" t="s">
        <v>24</v>
      </c>
    </row>
    <row r="6" spans="1:4" x14ac:dyDescent="0.25">
      <c r="A6" s="5" t="s">
        <v>0</v>
      </c>
      <c r="B6" s="5">
        <f>B5/12</f>
        <v>1.4415416666666667</v>
      </c>
      <c r="C6" s="5" t="s">
        <v>3</v>
      </c>
    </row>
    <row r="7" spans="1:4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4" x14ac:dyDescent="0.25">
      <c r="A8" t="s">
        <v>21</v>
      </c>
      <c r="B8" s="4">
        <f>B7*B1/B2</f>
        <v>4.0268456375838924E-2</v>
      </c>
    </row>
    <row r="9" spans="1:4" x14ac:dyDescent="0.25">
      <c r="A9" t="s">
        <v>17</v>
      </c>
      <c r="B9" s="4">
        <f>B3*B2</f>
        <v>37.25</v>
      </c>
      <c r="C9" s="2" t="s">
        <v>9</v>
      </c>
    </row>
    <row r="10" spans="1:4" x14ac:dyDescent="0.25">
      <c r="A10" t="s">
        <v>15</v>
      </c>
      <c r="B10" s="4">
        <f>SQRT(B7*B5)</f>
        <v>72.038531356490054</v>
      </c>
      <c r="C10" s="2" t="s">
        <v>9</v>
      </c>
    </row>
    <row r="11" spans="1:4" x14ac:dyDescent="0.25">
      <c r="A11" s="7" t="s">
        <v>8</v>
      </c>
      <c r="B11" s="4">
        <f>MIN(B9:B10)</f>
        <v>37.25</v>
      </c>
      <c r="C11" s="2" t="s">
        <v>9</v>
      </c>
    </row>
    <row r="12" spans="1:4" x14ac:dyDescent="0.25">
      <c r="A12" t="s">
        <v>27</v>
      </c>
      <c r="B12" s="1">
        <f>B11/B2</f>
        <v>0.25</v>
      </c>
      <c r="C12"/>
    </row>
    <row r="13" spans="1:4" x14ac:dyDescent="0.25">
      <c r="A13" t="s">
        <v>18</v>
      </c>
      <c r="B13">
        <f>B5/B11+B11/B7</f>
        <v>0.58855592841163318</v>
      </c>
      <c r="C13" s="2" t="s">
        <v>7</v>
      </c>
    </row>
    <row r="14" spans="1:4" x14ac:dyDescent="0.25">
      <c r="A14" t="s">
        <v>25</v>
      </c>
      <c r="B14" s="4">
        <f>B11/B7</f>
        <v>0.12416666666666666</v>
      </c>
      <c r="C14" s="2" t="s">
        <v>7</v>
      </c>
    </row>
    <row r="15" spans="1:4" x14ac:dyDescent="0.25">
      <c r="A15" t="s">
        <v>19</v>
      </c>
      <c r="B15" s="4">
        <f>B13-B14</f>
        <v>0.46438926174496653</v>
      </c>
      <c r="C15" s="2" t="s">
        <v>7</v>
      </c>
    </row>
    <row r="16" spans="1:4" x14ac:dyDescent="0.25">
      <c r="A16" t="s">
        <v>26</v>
      </c>
      <c r="B16" s="6">
        <f>D731</f>
        <v>17.134999999999994</v>
      </c>
      <c r="C16" s="2" t="s">
        <v>12</v>
      </c>
    </row>
    <row r="17" spans="1:6" x14ac:dyDescent="0.25">
      <c r="A17" t="s">
        <v>2</v>
      </c>
      <c r="B17" s="6">
        <f>D731-B4</f>
        <v>0.24899999999999523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0.25</v>
      </c>
      <c r="C27" s="2">
        <f t="shared" si="2"/>
        <v>37.25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0.25</v>
      </c>
      <c r="C28" s="2">
        <f t="shared" si="2"/>
        <v>37.25</v>
      </c>
      <c r="D28" s="2">
        <f t="shared" si="3"/>
        <v>3.2649999999999997</v>
      </c>
    </row>
    <row r="29" spans="1:6" x14ac:dyDescent="0.25">
      <c r="A29">
        <f t="shared" si="1"/>
        <v>0.18</v>
      </c>
      <c r="B29" s="2">
        <f t="shared" si="0"/>
        <v>0.25</v>
      </c>
      <c r="C29" s="2">
        <f t="shared" si="2"/>
        <v>37.25</v>
      </c>
      <c r="D29" s="2">
        <f t="shared" si="3"/>
        <v>4.01</v>
      </c>
    </row>
    <row r="30" spans="1:6" x14ac:dyDescent="0.25">
      <c r="A30">
        <f t="shared" si="1"/>
        <v>0.19999999999999998</v>
      </c>
      <c r="B30" s="2">
        <f t="shared" si="0"/>
        <v>0.25</v>
      </c>
      <c r="C30" s="2">
        <f t="shared" si="2"/>
        <v>37.25</v>
      </c>
      <c r="D30" s="2">
        <f t="shared" si="3"/>
        <v>4.7549999999999999</v>
      </c>
    </row>
    <row r="31" spans="1:6" x14ac:dyDescent="0.25">
      <c r="A31">
        <f t="shared" si="1"/>
        <v>0.21999999999999997</v>
      </c>
      <c r="B31" s="2">
        <f t="shared" si="0"/>
        <v>0.25</v>
      </c>
      <c r="C31" s="2">
        <f t="shared" si="2"/>
        <v>37.25</v>
      </c>
      <c r="D31" s="2">
        <f t="shared" si="3"/>
        <v>5.5</v>
      </c>
    </row>
    <row r="32" spans="1:6" x14ac:dyDescent="0.25">
      <c r="A32">
        <f t="shared" si="1"/>
        <v>0.23999999999999996</v>
      </c>
      <c r="B32" s="2">
        <f t="shared" si="0"/>
        <v>0.25</v>
      </c>
      <c r="C32" s="2">
        <f t="shared" si="2"/>
        <v>37.25</v>
      </c>
      <c r="D32" s="2">
        <f t="shared" si="3"/>
        <v>6.2450000000000001</v>
      </c>
    </row>
    <row r="33" spans="1:4" x14ac:dyDescent="0.25">
      <c r="A33">
        <f t="shared" si="1"/>
        <v>0.25999999999999995</v>
      </c>
      <c r="B33" s="2">
        <f t="shared" si="0"/>
        <v>0.25</v>
      </c>
      <c r="C33" s="2">
        <f t="shared" si="2"/>
        <v>37.25</v>
      </c>
      <c r="D33" s="2">
        <f t="shared" si="3"/>
        <v>6.99</v>
      </c>
    </row>
    <row r="34" spans="1:4" x14ac:dyDescent="0.25">
      <c r="A34">
        <f t="shared" si="1"/>
        <v>0.27999999999999997</v>
      </c>
      <c r="B34" s="2">
        <f t="shared" si="0"/>
        <v>0.25</v>
      </c>
      <c r="C34" s="2">
        <f t="shared" si="2"/>
        <v>37.25</v>
      </c>
      <c r="D34" s="2">
        <f t="shared" si="3"/>
        <v>7.7350000000000003</v>
      </c>
    </row>
    <row r="35" spans="1:4" x14ac:dyDescent="0.25">
      <c r="A35">
        <f t="shared" si="1"/>
        <v>0.3</v>
      </c>
      <c r="B35" s="2">
        <f t="shared" si="0"/>
        <v>0.25</v>
      </c>
      <c r="C35" s="2">
        <f t="shared" si="2"/>
        <v>37.25</v>
      </c>
      <c r="D35" s="2">
        <f t="shared" si="3"/>
        <v>8.48</v>
      </c>
    </row>
    <row r="36" spans="1:4" x14ac:dyDescent="0.25">
      <c r="A36">
        <f t="shared" si="1"/>
        <v>0.32</v>
      </c>
      <c r="B36" s="2">
        <f t="shared" si="0"/>
        <v>0.25</v>
      </c>
      <c r="C36" s="2">
        <f t="shared" si="2"/>
        <v>37.25</v>
      </c>
      <c r="D36" s="2">
        <f t="shared" si="3"/>
        <v>9.2249999999999996</v>
      </c>
    </row>
    <row r="37" spans="1:4" x14ac:dyDescent="0.25">
      <c r="A37">
        <f t="shared" si="1"/>
        <v>0.34</v>
      </c>
      <c r="B37" s="2">
        <f t="shared" si="0"/>
        <v>0.25</v>
      </c>
      <c r="C37" s="2">
        <f t="shared" si="2"/>
        <v>37.25</v>
      </c>
      <c r="D37" s="2">
        <f t="shared" si="3"/>
        <v>9.9699999999999989</v>
      </c>
    </row>
    <row r="38" spans="1:4" x14ac:dyDescent="0.25">
      <c r="A38">
        <f t="shared" si="1"/>
        <v>0.36000000000000004</v>
      </c>
      <c r="B38" s="2">
        <f t="shared" si="0"/>
        <v>0.25</v>
      </c>
      <c r="C38" s="2">
        <f t="shared" si="2"/>
        <v>37.25</v>
      </c>
      <c r="D38" s="2">
        <f t="shared" si="3"/>
        <v>10.714999999999998</v>
      </c>
    </row>
    <row r="39" spans="1:4" x14ac:dyDescent="0.25">
      <c r="A39">
        <f t="shared" si="1"/>
        <v>0.38000000000000006</v>
      </c>
      <c r="B39" s="2">
        <f t="shared" si="0"/>
        <v>0.25</v>
      </c>
      <c r="C39" s="2">
        <f t="shared" si="2"/>
        <v>37.25</v>
      </c>
      <c r="D39" s="2">
        <f t="shared" si="3"/>
        <v>11.459999999999997</v>
      </c>
    </row>
    <row r="40" spans="1:4" x14ac:dyDescent="0.25">
      <c r="A40">
        <f t="shared" si="1"/>
        <v>0.40000000000000008</v>
      </c>
      <c r="B40" s="2">
        <f t="shared" si="0"/>
        <v>0.25</v>
      </c>
      <c r="C40" s="2">
        <f t="shared" si="2"/>
        <v>37.25</v>
      </c>
      <c r="D40" s="2">
        <f t="shared" si="3"/>
        <v>12.204999999999997</v>
      </c>
    </row>
    <row r="41" spans="1:4" x14ac:dyDescent="0.25">
      <c r="A41">
        <f t="shared" si="1"/>
        <v>0.4200000000000001</v>
      </c>
      <c r="B41" s="2">
        <f t="shared" si="0"/>
        <v>0.25</v>
      </c>
      <c r="C41" s="2">
        <f t="shared" si="2"/>
        <v>37.25</v>
      </c>
      <c r="D41" s="2">
        <f t="shared" si="3"/>
        <v>12.949999999999996</v>
      </c>
    </row>
    <row r="42" spans="1:4" x14ac:dyDescent="0.25">
      <c r="A42">
        <f t="shared" si="1"/>
        <v>0.44000000000000011</v>
      </c>
      <c r="B42" s="2">
        <f t="shared" si="0"/>
        <v>0.25</v>
      </c>
      <c r="C42" s="2">
        <f t="shared" si="2"/>
        <v>37.25</v>
      </c>
      <c r="D42" s="2">
        <f t="shared" si="3"/>
        <v>13.694999999999995</v>
      </c>
    </row>
    <row r="43" spans="1:4" x14ac:dyDescent="0.25">
      <c r="A43">
        <f t="shared" si="1"/>
        <v>0.46000000000000013</v>
      </c>
      <c r="B43" s="2">
        <f t="shared" si="0"/>
        <v>0.25</v>
      </c>
      <c r="C43" s="2">
        <f t="shared" si="2"/>
        <v>37.25</v>
      </c>
      <c r="D43" s="2">
        <f t="shared" si="3"/>
        <v>14.439999999999994</v>
      </c>
    </row>
    <row r="44" spans="1:4" x14ac:dyDescent="0.25">
      <c r="A44">
        <f t="shared" si="1"/>
        <v>0.48000000000000015</v>
      </c>
      <c r="B44" s="2">
        <f t="shared" si="0"/>
        <v>0.20973154362416108</v>
      </c>
      <c r="C44" s="2">
        <f t="shared" si="2"/>
        <v>31.25</v>
      </c>
      <c r="D44" s="2">
        <f t="shared" si="3"/>
        <v>15.184999999999993</v>
      </c>
    </row>
    <row r="45" spans="1:4" x14ac:dyDescent="0.25">
      <c r="A45">
        <f t="shared" si="1"/>
        <v>0.50000000000000011</v>
      </c>
      <c r="B45" s="2">
        <f t="shared" si="0"/>
        <v>0.16946308724832215</v>
      </c>
      <c r="C45" s="2">
        <f t="shared" si="2"/>
        <v>25.25</v>
      </c>
      <c r="D45" s="2">
        <f t="shared" si="3"/>
        <v>15.809999999999993</v>
      </c>
    </row>
    <row r="46" spans="1:4" x14ac:dyDescent="0.25">
      <c r="A46">
        <f t="shared" si="1"/>
        <v>0.52000000000000013</v>
      </c>
      <c r="B46" s="2">
        <f t="shared" si="0"/>
        <v>0.12919463087248323</v>
      </c>
      <c r="C46" s="2">
        <f t="shared" si="2"/>
        <v>19.25</v>
      </c>
      <c r="D46" s="2">
        <f t="shared" si="3"/>
        <v>16.314999999999994</v>
      </c>
    </row>
    <row r="47" spans="1:4" x14ac:dyDescent="0.25">
      <c r="A47">
        <f t="shared" si="1"/>
        <v>0.54000000000000015</v>
      </c>
      <c r="B47" s="2">
        <f t="shared" si="0"/>
        <v>8.8926174496644306E-2</v>
      </c>
      <c r="C47" s="2">
        <f t="shared" si="2"/>
        <v>13.250000000000002</v>
      </c>
      <c r="D47" s="2">
        <f t="shared" si="3"/>
        <v>16.699999999999996</v>
      </c>
    </row>
    <row r="48" spans="1:4" x14ac:dyDescent="0.25">
      <c r="A48">
        <f t="shared" si="1"/>
        <v>0.56000000000000016</v>
      </c>
      <c r="B48" s="2">
        <f t="shared" si="0"/>
        <v>4.8657718120805382E-2</v>
      </c>
      <c r="C48" s="2">
        <f t="shared" si="2"/>
        <v>7.2500000000000018</v>
      </c>
      <c r="D48" s="2">
        <f t="shared" si="3"/>
        <v>16.964999999999996</v>
      </c>
    </row>
    <row r="49" spans="1:4" x14ac:dyDescent="0.25">
      <c r="A49">
        <f t="shared" si="1"/>
        <v>0.58000000000000018</v>
      </c>
      <c r="B49" s="2">
        <f t="shared" si="0"/>
        <v>8.3892617449664586E-3</v>
      </c>
      <c r="C49" s="2">
        <f t="shared" si="2"/>
        <v>1.2500000000000022</v>
      </c>
      <c r="D49" s="2">
        <f t="shared" si="3"/>
        <v>17.109999999999996</v>
      </c>
    </row>
    <row r="50" spans="1:4" x14ac:dyDescent="0.25">
      <c r="A50">
        <f t="shared" si="1"/>
        <v>0.6000000000000002</v>
      </c>
      <c r="B50" s="2">
        <f t="shared" si="0"/>
        <v>0</v>
      </c>
      <c r="C50" s="2">
        <f t="shared" si="2"/>
        <v>0</v>
      </c>
      <c r="D50" s="2">
        <f t="shared" si="3"/>
        <v>17.134999999999994</v>
      </c>
    </row>
    <row r="51" spans="1:4" x14ac:dyDescent="0.25">
      <c r="A51">
        <f t="shared" si="1"/>
        <v>0.62000000000000022</v>
      </c>
      <c r="B51" s="2">
        <f t="shared" si="0"/>
        <v>0</v>
      </c>
      <c r="C51" s="2">
        <f t="shared" si="2"/>
        <v>0</v>
      </c>
      <c r="D51" s="2">
        <f t="shared" si="3"/>
        <v>17.134999999999994</v>
      </c>
    </row>
    <row r="52" spans="1:4" x14ac:dyDescent="0.25">
      <c r="A52">
        <f t="shared" si="1"/>
        <v>0.64000000000000024</v>
      </c>
      <c r="B52" s="2">
        <f t="shared" si="0"/>
        <v>0</v>
      </c>
      <c r="C52" s="2">
        <f t="shared" si="2"/>
        <v>0</v>
      </c>
      <c r="D52" s="2">
        <f t="shared" si="3"/>
        <v>17.134999999999994</v>
      </c>
    </row>
    <row r="53" spans="1:4" x14ac:dyDescent="0.25">
      <c r="A53">
        <f t="shared" si="1"/>
        <v>0.66000000000000025</v>
      </c>
      <c r="B53" s="2">
        <f t="shared" si="0"/>
        <v>0</v>
      </c>
      <c r="C53" s="2">
        <f t="shared" si="2"/>
        <v>0</v>
      </c>
      <c r="D53" s="2">
        <f t="shared" si="3"/>
        <v>17.134999999999994</v>
      </c>
    </row>
    <row r="54" spans="1:4" x14ac:dyDescent="0.25">
      <c r="A54">
        <f t="shared" si="1"/>
        <v>0.68000000000000027</v>
      </c>
      <c r="B54" s="2">
        <f t="shared" si="0"/>
        <v>0</v>
      </c>
      <c r="C54" s="2">
        <f t="shared" si="2"/>
        <v>0</v>
      </c>
      <c r="D54" s="2">
        <f t="shared" si="3"/>
        <v>17.134999999999994</v>
      </c>
    </row>
    <row r="55" spans="1:4" x14ac:dyDescent="0.25">
      <c r="A55">
        <f t="shared" si="1"/>
        <v>0.70000000000000029</v>
      </c>
      <c r="B55" s="2">
        <f t="shared" si="0"/>
        <v>0</v>
      </c>
      <c r="C55" s="2">
        <f t="shared" si="2"/>
        <v>0</v>
      </c>
      <c r="D55" s="2">
        <f t="shared" si="3"/>
        <v>17.134999999999994</v>
      </c>
    </row>
    <row r="56" spans="1:4" x14ac:dyDescent="0.25">
      <c r="A56">
        <f t="shared" si="1"/>
        <v>0.72000000000000031</v>
      </c>
      <c r="B56" s="2">
        <f t="shared" si="0"/>
        <v>0</v>
      </c>
      <c r="C56" s="2">
        <f t="shared" si="2"/>
        <v>0</v>
      </c>
      <c r="D56" s="2">
        <f t="shared" si="3"/>
        <v>17.134999999999994</v>
      </c>
    </row>
    <row r="57" spans="1:4" x14ac:dyDescent="0.25">
      <c r="A57">
        <f t="shared" si="1"/>
        <v>0.74000000000000032</v>
      </c>
      <c r="B57" s="2">
        <f t="shared" si="0"/>
        <v>0</v>
      </c>
      <c r="C57" s="2">
        <f t="shared" si="2"/>
        <v>0</v>
      </c>
      <c r="D57" s="2">
        <f t="shared" si="3"/>
        <v>17.134999999999994</v>
      </c>
    </row>
    <row r="58" spans="1:4" x14ac:dyDescent="0.25">
      <c r="A58">
        <f t="shared" si="1"/>
        <v>0.76000000000000034</v>
      </c>
      <c r="B58" s="2">
        <f t="shared" si="0"/>
        <v>0</v>
      </c>
      <c r="C58" s="2">
        <f t="shared" si="2"/>
        <v>0</v>
      </c>
      <c r="D58" s="2">
        <f t="shared" si="3"/>
        <v>17.134999999999994</v>
      </c>
    </row>
    <row r="59" spans="1:4" x14ac:dyDescent="0.25">
      <c r="A59">
        <f t="shared" si="1"/>
        <v>0.78000000000000036</v>
      </c>
      <c r="B59" s="2">
        <f t="shared" si="0"/>
        <v>0</v>
      </c>
      <c r="C59" s="2">
        <f t="shared" si="2"/>
        <v>0</v>
      </c>
      <c r="D59" s="2">
        <f t="shared" si="3"/>
        <v>17.134999999999994</v>
      </c>
    </row>
    <row r="60" spans="1:4" x14ac:dyDescent="0.25">
      <c r="A60">
        <f t="shared" si="1"/>
        <v>0.80000000000000038</v>
      </c>
      <c r="B60" s="2">
        <f t="shared" si="0"/>
        <v>0</v>
      </c>
      <c r="C60" s="2">
        <f t="shared" si="2"/>
        <v>0</v>
      </c>
      <c r="D60" s="2">
        <f t="shared" si="3"/>
        <v>17.134999999999994</v>
      </c>
    </row>
    <row r="61" spans="1:4" x14ac:dyDescent="0.25">
      <c r="A61">
        <f t="shared" si="1"/>
        <v>0.8200000000000004</v>
      </c>
      <c r="B61" s="2">
        <f t="shared" si="0"/>
        <v>0</v>
      </c>
      <c r="C61" s="2">
        <f t="shared" si="2"/>
        <v>0</v>
      </c>
      <c r="D61" s="2">
        <f t="shared" si="3"/>
        <v>17.134999999999994</v>
      </c>
    </row>
    <row r="62" spans="1:4" x14ac:dyDescent="0.25">
      <c r="A62">
        <f t="shared" si="1"/>
        <v>0.84000000000000041</v>
      </c>
      <c r="B62" s="2">
        <f t="shared" si="0"/>
        <v>0</v>
      </c>
      <c r="C62" s="2">
        <f t="shared" si="2"/>
        <v>0</v>
      </c>
      <c r="D62" s="2">
        <f t="shared" si="3"/>
        <v>17.134999999999994</v>
      </c>
    </row>
    <row r="63" spans="1:4" x14ac:dyDescent="0.25">
      <c r="A63">
        <f t="shared" si="1"/>
        <v>0.86000000000000043</v>
      </c>
      <c r="B63" s="2">
        <f t="shared" si="0"/>
        <v>0</v>
      </c>
      <c r="C63" s="2">
        <f t="shared" si="2"/>
        <v>0</v>
      </c>
      <c r="D63" s="2">
        <f t="shared" si="3"/>
        <v>17.134999999999994</v>
      </c>
    </row>
    <row r="64" spans="1:4" x14ac:dyDescent="0.25">
      <c r="A64">
        <f t="shared" si="1"/>
        <v>0.88000000000000045</v>
      </c>
      <c r="B64" s="2">
        <f t="shared" si="0"/>
        <v>0</v>
      </c>
      <c r="C64" s="2">
        <f t="shared" si="2"/>
        <v>0</v>
      </c>
      <c r="D64" s="2">
        <f t="shared" si="3"/>
        <v>17.134999999999994</v>
      </c>
    </row>
    <row r="65" spans="1:4" x14ac:dyDescent="0.25">
      <c r="A65">
        <f t="shared" si="1"/>
        <v>0.90000000000000047</v>
      </c>
      <c r="B65" s="2">
        <f t="shared" si="0"/>
        <v>0</v>
      </c>
      <c r="C65" s="2">
        <f t="shared" si="2"/>
        <v>0</v>
      </c>
      <c r="D65" s="2">
        <f t="shared" si="3"/>
        <v>17.134999999999994</v>
      </c>
    </row>
    <row r="66" spans="1:4" x14ac:dyDescent="0.25">
      <c r="A66">
        <f t="shared" si="1"/>
        <v>0.92000000000000048</v>
      </c>
      <c r="B66" s="2">
        <f t="shared" si="0"/>
        <v>0</v>
      </c>
      <c r="C66" s="2">
        <f t="shared" si="2"/>
        <v>0</v>
      </c>
      <c r="D66" s="2">
        <f t="shared" si="3"/>
        <v>17.134999999999994</v>
      </c>
    </row>
    <row r="67" spans="1:4" x14ac:dyDescent="0.25">
      <c r="A67">
        <f t="shared" si="1"/>
        <v>0.9400000000000005</v>
      </c>
      <c r="B67" s="2">
        <f t="shared" si="0"/>
        <v>0</v>
      </c>
      <c r="C67" s="2">
        <f t="shared" si="2"/>
        <v>0</v>
      </c>
      <c r="D67" s="2">
        <f t="shared" si="3"/>
        <v>17.134999999999994</v>
      </c>
    </row>
    <row r="68" spans="1:4" x14ac:dyDescent="0.25">
      <c r="A68">
        <f t="shared" si="1"/>
        <v>0.96000000000000052</v>
      </c>
      <c r="B68" s="2">
        <f t="shared" si="0"/>
        <v>0</v>
      </c>
      <c r="C68" s="2">
        <f t="shared" si="2"/>
        <v>0</v>
      </c>
      <c r="D68" s="2">
        <f t="shared" si="3"/>
        <v>17.134999999999994</v>
      </c>
    </row>
    <row r="69" spans="1:4" x14ac:dyDescent="0.25">
      <c r="A69">
        <f t="shared" si="1"/>
        <v>0.98000000000000054</v>
      </c>
      <c r="B69" s="2">
        <f t="shared" si="0"/>
        <v>0</v>
      </c>
      <c r="C69" s="2">
        <f t="shared" si="2"/>
        <v>0</v>
      </c>
      <c r="D69" s="2">
        <f t="shared" si="3"/>
        <v>17.134999999999994</v>
      </c>
    </row>
    <row r="70" spans="1:4" x14ac:dyDescent="0.25">
      <c r="A70">
        <f t="shared" si="1"/>
        <v>1.0000000000000004</v>
      </c>
      <c r="B70" s="2">
        <f t="shared" si="0"/>
        <v>0</v>
      </c>
      <c r="C70" s="2">
        <f t="shared" si="2"/>
        <v>0</v>
      </c>
      <c r="D70" s="2">
        <f t="shared" si="3"/>
        <v>17.134999999999994</v>
      </c>
    </row>
    <row r="71" spans="1:4" x14ac:dyDescent="0.25">
      <c r="A71">
        <f t="shared" si="1"/>
        <v>1.0200000000000005</v>
      </c>
      <c r="B71" s="2">
        <f t="shared" si="0"/>
        <v>0</v>
      </c>
      <c r="C71" s="2">
        <f t="shared" si="2"/>
        <v>0</v>
      </c>
      <c r="D71" s="2">
        <f t="shared" si="3"/>
        <v>17.134999999999994</v>
      </c>
    </row>
    <row r="72" spans="1:4" x14ac:dyDescent="0.25">
      <c r="A72">
        <f t="shared" si="1"/>
        <v>1.0400000000000005</v>
      </c>
      <c r="B72" s="2">
        <f t="shared" si="0"/>
        <v>0</v>
      </c>
      <c r="C72" s="2">
        <f t="shared" si="2"/>
        <v>0</v>
      </c>
      <c r="D72" s="2">
        <f t="shared" si="3"/>
        <v>17.134999999999994</v>
      </c>
    </row>
    <row r="73" spans="1:4" x14ac:dyDescent="0.25">
      <c r="A73">
        <f t="shared" si="1"/>
        <v>1.0600000000000005</v>
      </c>
      <c r="B73" s="2">
        <f t="shared" si="0"/>
        <v>0</v>
      </c>
      <c r="C73" s="2">
        <f t="shared" si="2"/>
        <v>0</v>
      </c>
      <c r="D73" s="2">
        <f t="shared" si="3"/>
        <v>17.134999999999994</v>
      </c>
    </row>
    <row r="74" spans="1:4" x14ac:dyDescent="0.25">
      <c r="A74">
        <f t="shared" si="1"/>
        <v>1.0800000000000005</v>
      </c>
      <c r="B74" s="2">
        <f t="shared" si="0"/>
        <v>0</v>
      </c>
      <c r="C74" s="2">
        <f t="shared" si="2"/>
        <v>0</v>
      </c>
      <c r="D74" s="2">
        <f t="shared" si="3"/>
        <v>17.134999999999994</v>
      </c>
    </row>
    <row r="75" spans="1:4" x14ac:dyDescent="0.25">
      <c r="A75">
        <f t="shared" si="1"/>
        <v>1.1000000000000005</v>
      </c>
      <c r="B75" s="2">
        <f t="shared" si="0"/>
        <v>0</v>
      </c>
      <c r="C75" s="2">
        <f t="shared" si="2"/>
        <v>0</v>
      </c>
      <c r="D75" s="2">
        <f t="shared" si="3"/>
        <v>17.134999999999994</v>
      </c>
    </row>
    <row r="76" spans="1:4" x14ac:dyDescent="0.25">
      <c r="A76">
        <f t="shared" si="1"/>
        <v>1.1200000000000006</v>
      </c>
      <c r="B76" s="2">
        <f t="shared" si="0"/>
        <v>0</v>
      </c>
      <c r="C76" s="2">
        <f t="shared" si="2"/>
        <v>0</v>
      </c>
      <c r="D76" s="2">
        <f t="shared" si="3"/>
        <v>17.134999999999994</v>
      </c>
    </row>
    <row r="77" spans="1:4" x14ac:dyDescent="0.25">
      <c r="A77">
        <f t="shared" si="1"/>
        <v>1.1400000000000006</v>
      </c>
      <c r="B77" s="2">
        <f t="shared" si="0"/>
        <v>0</v>
      </c>
      <c r="C77" s="2">
        <f t="shared" si="2"/>
        <v>0</v>
      </c>
      <c r="D77" s="2">
        <f t="shared" si="3"/>
        <v>17.134999999999994</v>
      </c>
    </row>
    <row r="78" spans="1:4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17.134999999999994</v>
      </c>
    </row>
    <row r="79" spans="1:4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17.134999999999994</v>
      </c>
    </row>
    <row r="80" spans="1:4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17.134999999999994</v>
      </c>
    </row>
    <row r="81" spans="1:4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17.134999999999994</v>
      </c>
    </row>
    <row r="82" spans="1:4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17.134999999999994</v>
      </c>
    </row>
    <row r="83" spans="1:4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17.134999999999994</v>
      </c>
    </row>
    <row r="84" spans="1:4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17.134999999999994</v>
      </c>
    </row>
    <row r="85" spans="1:4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17.134999999999994</v>
      </c>
    </row>
    <row r="86" spans="1:4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17.134999999999994</v>
      </c>
    </row>
    <row r="87" spans="1:4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17.134999999999994</v>
      </c>
    </row>
    <row r="88" spans="1:4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17.134999999999994</v>
      </c>
    </row>
    <row r="89" spans="1:4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17.134999999999994</v>
      </c>
    </row>
    <row r="90" spans="1:4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17.134999999999994</v>
      </c>
    </row>
    <row r="91" spans="1:4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17.134999999999994</v>
      </c>
    </row>
    <row r="92" spans="1:4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17.134999999999994</v>
      </c>
    </row>
    <row r="93" spans="1:4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17.134999999999994</v>
      </c>
    </row>
    <row r="94" spans="1:4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17.134999999999994</v>
      </c>
    </row>
    <row r="95" spans="1:4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17.134999999999994</v>
      </c>
    </row>
    <row r="96" spans="1:4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17.134999999999994</v>
      </c>
    </row>
    <row r="97" spans="1:4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17.134999999999994</v>
      </c>
    </row>
    <row r="98" spans="1:4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17.134999999999994</v>
      </c>
    </row>
    <row r="99" spans="1:4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17.134999999999994</v>
      </c>
    </row>
    <row r="100" spans="1:4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17.134999999999994</v>
      </c>
    </row>
    <row r="101" spans="1:4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17.134999999999994</v>
      </c>
    </row>
    <row r="102" spans="1:4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17.134999999999994</v>
      </c>
    </row>
    <row r="103" spans="1:4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17.134999999999994</v>
      </c>
    </row>
    <row r="104" spans="1:4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17.134999999999994</v>
      </c>
    </row>
    <row r="105" spans="1:4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17.134999999999994</v>
      </c>
    </row>
    <row r="106" spans="1:4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17.134999999999994</v>
      </c>
    </row>
    <row r="107" spans="1:4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17.134999999999994</v>
      </c>
    </row>
    <row r="108" spans="1:4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17.134999999999994</v>
      </c>
    </row>
    <row r="109" spans="1:4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17.134999999999994</v>
      </c>
    </row>
    <row r="110" spans="1:4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17.134999999999994</v>
      </c>
    </row>
    <row r="111" spans="1:4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17.134999999999994</v>
      </c>
    </row>
    <row r="112" spans="1:4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17.134999999999994</v>
      </c>
    </row>
    <row r="113" spans="1:4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17.134999999999994</v>
      </c>
    </row>
    <row r="114" spans="1:4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17.134999999999994</v>
      </c>
    </row>
    <row r="115" spans="1:4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17.134999999999994</v>
      </c>
    </row>
    <row r="116" spans="1:4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17.134999999999994</v>
      </c>
    </row>
    <row r="117" spans="1:4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17.134999999999994</v>
      </c>
    </row>
    <row r="118" spans="1:4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17.134999999999994</v>
      </c>
    </row>
    <row r="119" spans="1:4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17.134999999999994</v>
      </c>
    </row>
    <row r="120" spans="1:4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17.134999999999994</v>
      </c>
    </row>
    <row r="121" spans="1:4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17.134999999999994</v>
      </c>
    </row>
    <row r="122" spans="1:4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17.134999999999994</v>
      </c>
    </row>
    <row r="123" spans="1:4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17.134999999999994</v>
      </c>
    </row>
    <row r="124" spans="1:4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17.134999999999994</v>
      </c>
    </row>
    <row r="125" spans="1:4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17.134999999999994</v>
      </c>
    </row>
    <row r="126" spans="1:4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17.134999999999994</v>
      </c>
    </row>
    <row r="127" spans="1:4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17.134999999999994</v>
      </c>
    </row>
    <row r="128" spans="1:4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17.134999999999994</v>
      </c>
    </row>
    <row r="129" spans="1:4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17.134999999999994</v>
      </c>
    </row>
    <row r="130" spans="1:4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17.134999999999994</v>
      </c>
    </row>
    <row r="131" spans="1:4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17.134999999999994</v>
      </c>
    </row>
    <row r="132" spans="1:4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17.134999999999994</v>
      </c>
    </row>
    <row r="133" spans="1:4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17.134999999999994</v>
      </c>
    </row>
    <row r="134" spans="1:4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17.134999999999994</v>
      </c>
    </row>
    <row r="135" spans="1:4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17.134999999999994</v>
      </c>
    </row>
    <row r="136" spans="1:4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17.134999999999994</v>
      </c>
    </row>
    <row r="137" spans="1:4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17.134999999999994</v>
      </c>
    </row>
    <row r="138" spans="1:4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17.134999999999994</v>
      </c>
    </row>
    <row r="139" spans="1:4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17.134999999999994</v>
      </c>
    </row>
    <row r="140" spans="1:4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17.134999999999994</v>
      </c>
    </row>
    <row r="141" spans="1:4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17.134999999999994</v>
      </c>
    </row>
    <row r="142" spans="1:4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17.134999999999994</v>
      </c>
    </row>
    <row r="143" spans="1:4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17.134999999999994</v>
      </c>
    </row>
    <row r="144" spans="1:4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17.134999999999994</v>
      </c>
    </row>
    <row r="145" spans="1:4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17.134999999999994</v>
      </c>
    </row>
    <row r="146" spans="1:4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17.134999999999994</v>
      </c>
    </row>
    <row r="147" spans="1:4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17.134999999999994</v>
      </c>
    </row>
    <row r="148" spans="1:4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17.134999999999994</v>
      </c>
    </row>
    <row r="149" spans="1:4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17.134999999999994</v>
      </c>
    </row>
    <row r="150" spans="1:4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17.134999999999994</v>
      </c>
    </row>
    <row r="151" spans="1:4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17.134999999999994</v>
      </c>
    </row>
    <row r="152" spans="1:4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17.134999999999994</v>
      </c>
    </row>
    <row r="153" spans="1:4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17.134999999999994</v>
      </c>
    </row>
    <row r="154" spans="1:4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17.134999999999994</v>
      </c>
    </row>
    <row r="155" spans="1:4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17.134999999999994</v>
      </c>
    </row>
    <row r="156" spans="1:4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17.134999999999994</v>
      </c>
    </row>
    <row r="157" spans="1:4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17.134999999999994</v>
      </c>
    </row>
    <row r="158" spans="1:4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17.134999999999994</v>
      </c>
    </row>
    <row r="159" spans="1:4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17.134999999999994</v>
      </c>
    </row>
    <row r="160" spans="1:4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17.134999999999994</v>
      </c>
    </row>
    <row r="161" spans="1:4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17.134999999999994</v>
      </c>
    </row>
    <row r="162" spans="1:4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17.134999999999994</v>
      </c>
    </row>
    <row r="163" spans="1:4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17.134999999999994</v>
      </c>
    </row>
    <row r="164" spans="1:4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17.134999999999994</v>
      </c>
    </row>
    <row r="165" spans="1:4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17.134999999999994</v>
      </c>
    </row>
    <row r="166" spans="1:4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17.134999999999994</v>
      </c>
    </row>
    <row r="167" spans="1:4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17.134999999999994</v>
      </c>
    </row>
    <row r="168" spans="1:4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17.134999999999994</v>
      </c>
    </row>
    <row r="169" spans="1:4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17.134999999999994</v>
      </c>
    </row>
    <row r="170" spans="1:4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17.134999999999994</v>
      </c>
    </row>
    <row r="171" spans="1:4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17.134999999999994</v>
      </c>
    </row>
    <row r="172" spans="1:4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17.134999999999994</v>
      </c>
    </row>
    <row r="173" spans="1:4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17.134999999999994</v>
      </c>
    </row>
    <row r="174" spans="1:4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17.134999999999994</v>
      </c>
    </row>
    <row r="175" spans="1:4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17.134999999999994</v>
      </c>
    </row>
    <row r="176" spans="1:4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17.134999999999994</v>
      </c>
    </row>
    <row r="177" spans="1:4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17.134999999999994</v>
      </c>
    </row>
    <row r="178" spans="1:4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17.134999999999994</v>
      </c>
    </row>
    <row r="179" spans="1:4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17.134999999999994</v>
      </c>
    </row>
    <row r="180" spans="1:4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17.134999999999994</v>
      </c>
    </row>
    <row r="181" spans="1:4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17.134999999999994</v>
      </c>
    </row>
    <row r="182" spans="1:4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17.134999999999994</v>
      </c>
    </row>
    <row r="183" spans="1:4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17.134999999999994</v>
      </c>
    </row>
    <row r="184" spans="1:4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17.134999999999994</v>
      </c>
    </row>
    <row r="185" spans="1:4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17.134999999999994</v>
      </c>
    </row>
    <row r="186" spans="1:4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17.134999999999994</v>
      </c>
    </row>
    <row r="187" spans="1:4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17.134999999999994</v>
      </c>
    </row>
    <row r="188" spans="1:4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17.134999999999994</v>
      </c>
    </row>
    <row r="189" spans="1:4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17.134999999999994</v>
      </c>
    </row>
    <row r="190" spans="1:4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17.134999999999994</v>
      </c>
    </row>
    <row r="191" spans="1:4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17.134999999999994</v>
      </c>
    </row>
    <row r="192" spans="1:4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17.134999999999994</v>
      </c>
    </row>
    <row r="193" spans="1:4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17.134999999999994</v>
      </c>
    </row>
    <row r="194" spans="1:4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17.134999999999994</v>
      </c>
    </row>
    <row r="195" spans="1:4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17.134999999999994</v>
      </c>
    </row>
    <row r="196" spans="1:4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17.134999999999994</v>
      </c>
    </row>
    <row r="197" spans="1:4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17.134999999999994</v>
      </c>
    </row>
    <row r="198" spans="1:4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17.134999999999994</v>
      </c>
    </row>
    <row r="199" spans="1:4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17.134999999999994</v>
      </c>
    </row>
    <row r="200" spans="1:4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17.134999999999994</v>
      </c>
    </row>
    <row r="201" spans="1:4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17.134999999999994</v>
      </c>
    </row>
    <row r="202" spans="1:4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17.134999999999994</v>
      </c>
    </row>
    <row r="203" spans="1:4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17.134999999999994</v>
      </c>
    </row>
    <row r="204" spans="1:4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17.134999999999994</v>
      </c>
    </row>
    <row r="205" spans="1:4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17.134999999999994</v>
      </c>
    </row>
    <row r="206" spans="1:4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17.134999999999994</v>
      </c>
    </row>
    <row r="207" spans="1:4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17.134999999999994</v>
      </c>
    </row>
    <row r="208" spans="1:4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17.134999999999994</v>
      </c>
    </row>
    <row r="209" spans="1:4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17.134999999999994</v>
      </c>
    </row>
    <row r="210" spans="1:4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17.134999999999994</v>
      </c>
    </row>
    <row r="211" spans="1:4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17.134999999999994</v>
      </c>
    </row>
    <row r="212" spans="1:4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17.134999999999994</v>
      </c>
    </row>
    <row r="213" spans="1:4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17.134999999999994</v>
      </c>
    </row>
    <row r="214" spans="1:4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17.134999999999994</v>
      </c>
    </row>
    <row r="215" spans="1:4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17.134999999999994</v>
      </c>
    </row>
    <row r="216" spans="1:4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17.134999999999994</v>
      </c>
    </row>
    <row r="217" spans="1:4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17.134999999999994</v>
      </c>
    </row>
    <row r="218" spans="1:4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17.134999999999994</v>
      </c>
    </row>
    <row r="219" spans="1:4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17.134999999999994</v>
      </c>
    </row>
    <row r="220" spans="1:4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17.134999999999994</v>
      </c>
    </row>
    <row r="221" spans="1:4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17.134999999999994</v>
      </c>
    </row>
    <row r="222" spans="1:4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17.134999999999994</v>
      </c>
    </row>
    <row r="223" spans="1:4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17.134999999999994</v>
      </c>
    </row>
    <row r="224" spans="1:4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17.134999999999994</v>
      </c>
    </row>
    <row r="225" spans="1:4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17.134999999999994</v>
      </c>
    </row>
    <row r="226" spans="1:4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17.134999999999994</v>
      </c>
    </row>
    <row r="227" spans="1:4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17.134999999999994</v>
      </c>
    </row>
    <row r="228" spans="1:4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17.134999999999994</v>
      </c>
    </row>
    <row r="229" spans="1:4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17.134999999999994</v>
      </c>
    </row>
    <row r="230" spans="1:4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17.134999999999994</v>
      </c>
    </row>
    <row r="231" spans="1:4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17.134999999999994</v>
      </c>
    </row>
    <row r="232" spans="1:4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17.134999999999994</v>
      </c>
    </row>
    <row r="233" spans="1:4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17.134999999999994</v>
      </c>
    </row>
    <row r="234" spans="1:4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17.134999999999994</v>
      </c>
    </row>
    <row r="235" spans="1:4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17.134999999999994</v>
      </c>
    </row>
    <row r="236" spans="1:4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17.134999999999994</v>
      </c>
    </row>
    <row r="237" spans="1:4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17.134999999999994</v>
      </c>
    </row>
    <row r="238" spans="1:4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17.134999999999994</v>
      </c>
    </row>
    <row r="239" spans="1:4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17.134999999999994</v>
      </c>
    </row>
    <row r="240" spans="1:4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17.134999999999994</v>
      </c>
    </row>
    <row r="241" spans="1:4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17.134999999999994</v>
      </c>
    </row>
    <row r="242" spans="1:4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17.134999999999994</v>
      </c>
    </row>
    <row r="243" spans="1:4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17.134999999999994</v>
      </c>
    </row>
    <row r="244" spans="1:4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17.134999999999994</v>
      </c>
    </row>
    <row r="245" spans="1:4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17.134999999999994</v>
      </c>
    </row>
    <row r="246" spans="1:4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17.134999999999994</v>
      </c>
    </row>
    <row r="247" spans="1:4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17.134999999999994</v>
      </c>
    </row>
    <row r="248" spans="1:4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17.134999999999994</v>
      </c>
    </row>
    <row r="249" spans="1:4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17.134999999999994</v>
      </c>
    </row>
    <row r="250" spans="1:4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17.134999999999994</v>
      </c>
    </row>
    <row r="251" spans="1:4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17.134999999999994</v>
      </c>
    </row>
    <row r="252" spans="1:4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17.134999999999994</v>
      </c>
    </row>
    <row r="253" spans="1:4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17.134999999999994</v>
      </c>
    </row>
    <row r="254" spans="1:4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17.134999999999994</v>
      </c>
    </row>
    <row r="255" spans="1:4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17.134999999999994</v>
      </c>
    </row>
    <row r="256" spans="1:4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17.134999999999994</v>
      </c>
    </row>
    <row r="257" spans="1:4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17.134999999999994</v>
      </c>
    </row>
    <row r="258" spans="1:4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17.134999999999994</v>
      </c>
    </row>
    <row r="259" spans="1:4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17.134999999999994</v>
      </c>
    </row>
    <row r="260" spans="1:4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17.134999999999994</v>
      </c>
    </row>
    <row r="261" spans="1:4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17.134999999999994</v>
      </c>
    </row>
    <row r="262" spans="1:4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17.134999999999994</v>
      </c>
    </row>
    <row r="263" spans="1:4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17.134999999999994</v>
      </c>
    </row>
    <row r="264" spans="1:4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17.134999999999994</v>
      </c>
    </row>
    <row r="265" spans="1:4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17.134999999999994</v>
      </c>
    </row>
    <row r="266" spans="1:4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17.134999999999994</v>
      </c>
    </row>
    <row r="267" spans="1:4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17.134999999999994</v>
      </c>
    </row>
    <row r="268" spans="1:4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17.134999999999994</v>
      </c>
    </row>
    <row r="269" spans="1:4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17.134999999999994</v>
      </c>
    </row>
    <row r="270" spans="1:4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17.134999999999994</v>
      </c>
    </row>
    <row r="271" spans="1:4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17.134999999999994</v>
      </c>
    </row>
    <row r="272" spans="1:4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17.134999999999994</v>
      </c>
    </row>
    <row r="273" spans="1:4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17.134999999999994</v>
      </c>
    </row>
    <row r="274" spans="1:4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17.134999999999994</v>
      </c>
    </row>
    <row r="275" spans="1:4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17.134999999999994</v>
      </c>
    </row>
    <row r="276" spans="1:4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17.134999999999994</v>
      </c>
    </row>
    <row r="277" spans="1:4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17.134999999999994</v>
      </c>
    </row>
    <row r="278" spans="1:4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17.134999999999994</v>
      </c>
    </row>
    <row r="279" spans="1:4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17.134999999999994</v>
      </c>
    </row>
    <row r="280" spans="1:4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17.134999999999994</v>
      </c>
    </row>
    <row r="281" spans="1:4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17.134999999999994</v>
      </c>
    </row>
    <row r="282" spans="1:4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17.134999999999994</v>
      </c>
    </row>
    <row r="283" spans="1:4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17.134999999999994</v>
      </c>
    </row>
    <row r="284" spans="1:4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17.134999999999994</v>
      </c>
    </row>
    <row r="285" spans="1:4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17.134999999999994</v>
      </c>
    </row>
    <row r="286" spans="1:4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17.134999999999994</v>
      </c>
    </row>
    <row r="287" spans="1:4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17.134999999999994</v>
      </c>
    </row>
    <row r="288" spans="1:4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17.134999999999994</v>
      </c>
    </row>
    <row r="289" spans="1:4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17.134999999999994</v>
      </c>
    </row>
    <row r="290" spans="1:4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17.134999999999994</v>
      </c>
    </row>
    <row r="291" spans="1:4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17.134999999999994</v>
      </c>
    </row>
    <row r="292" spans="1:4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17.134999999999994</v>
      </c>
    </row>
    <row r="293" spans="1:4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17.134999999999994</v>
      </c>
    </row>
    <row r="294" spans="1:4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17.134999999999994</v>
      </c>
    </row>
    <row r="295" spans="1:4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17.134999999999994</v>
      </c>
    </row>
    <row r="296" spans="1:4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17.134999999999994</v>
      </c>
    </row>
    <row r="297" spans="1:4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17.134999999999994</v>
      </c>
    </row>
    <row r="298" spans="1:4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17.134999999999994</v>
      </c>
    </row>
    <row r="299" spans="1:4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17.134999999999994</v>
      </c>
    </row>
    <row r="300" spans="1:4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17.134999999999994</v>
      </c>
    </row>
    <row r="301" spans="1:4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17.134999999999994</v>
      </c>
    </row>
    <row r="302" spans="1:4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17.134999999999994</v>
      </c>
    </row>
    <row r="303" spans="1:4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17.134999999999994</v>
      </c>
    </row>
    <row r="304" spans="1:4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17.134999999999994</v>
      </c>
    </row>
    <row r="305" spans="1:4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17.134999999999994</v>
      </c>
    </row>
    <row r="306" spans="1:4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17.134999999999994</v>
      </c>
    </row>
    <row r="307" spans="1:4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17.134999999999994</v>
      </c>
    </row>
    <row r="308" spans="1:4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17.134999999999994</v>
      </c>
    </row>
    <row r="309" spans="1:4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17.134999999999994</v>
      </c>
    </row>
    <row r="310" spans="1:4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17.134999999999994</v>
      </c>
    </row>
    <row r="311" spans="1:4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17.134999999999994</v>
      </c>
    </row>
    <row r="312" spans="1:4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17.134999999999994</v>
      </c>
    </row>
    <row r="313" spans="1:4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17.134999999999994</v>
      </c>
    </row>
    <row r="314" spans="1:4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17.134999999999994</v>
      </c>
    </row>
    <row r="315" spans="1:4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17.134999999999994</v>
      </c>
    </row>
    <row r="316" spans="1:4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17.134999999999994</v>
      </c>
    </row>
    <row r="317" spans="1:4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17.134999999999994</v>
      </c>
    </row>
    <row r="318" spans="1:4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17.134999999999994</v>
      </c>
    </row>
    <row r="319" spans="1:4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17.134999999999994</v>
      </c>
    </row>
    <row r="320" spans="1:4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17.134999999999994</v>
      </c>
    </row>
    <row r="321" spans="1:4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17.134999999999994</v>
      </c>
    </row>
    <row r="322" spans="1:4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17.134999999999994</v>
      </c>
    </row>
    <row r="323" spans="1:4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17.134999999999994</v>
      </c>
    </row>
    <row r="324" spans="1:4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17.134999999999994</v>
      </c>
    </row>
    <row r="325" spans="1:4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17.134999999999994</v>
      </c>
    </row>
    <row r="326" spans="1:4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17.134999999999994</v>
      </c>
    </row>
    <row r="327" spans="1:4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17.134999999999994</v>
      </c>
    </row>
    <row r="328" spans="1:4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17.134999999999994</v>
      </c>
    </row>
    <row r="329" spans="1:4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17.134999999999994</v>
      </c>
    </row>
    <row r="330" spans="1:4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17.134999999999994</v>
      </c>
    </row>
    <row r="331" spans="1:4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17.134999999999994</v>
      </c>
    </row>
    <row r="332" spans="1:4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17.134999999999994</v>
      </c>
    </row>
    <row r="333" spans="1:4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17.134999999999994</v>
      </c>
    </row>
    <row r="334" spans="1:4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17.134999999999994</v>
      </c>
    </row>
    <row r="335" spans="1:4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17.134999999999994</v>
      </c>
    </row>
    <row r="336" spans="1:4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17.134999999999994</v>
      </c>
    </row>
    <row r="337" spans="1:4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17.134999999999994</v>
      </c>
    </row>
    <row r="338" spans="1:4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17.134999999999994</v>
      </c>
    </row>
    <row r="339" spans="1:4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17.134999999999994</v>
      </c>
    </row>
    <row r="340" spans="1:4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17.134999999999994</v>
      </c>
    </row>
    <row r="341" spans="1:4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17.134999999999994</v>
      </c>
    </row>
    <row r="342" spans="1:4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17.134999999999994</v>
      </c>
    </row>
    <row r="343" spans="1:4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17.134999999999994</v>
      </c>
    </row>
    <row r="344" spans="1:4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17.134999999999994</v>
      </c>
    </row>
    <row r="345" spans="1:4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17.134999999999994</v>
      </c>
    </row>
    <row r="346" spans="1:4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17.134999999999994</v>
      </c>
    </row>
    <row r="347" spans="1:4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17.134999999999994</v>
      </c>
    </row>
    <row r="348" spans="1:4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17.134999999999994</v>
      </c>
    </row>
    <row r="349" spans="1:4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17.134999999999994</v>
      </c>
    </row>
    <row r="350" spans="1:4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17.134999999999994</v>
      </c>
    </row>
    <row r="351" spans="1:4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17.134999999999994</v>
      </c>
    </row>
    <row r="352" spans="1:4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17.134999999999994</v>
      </c>
    </row>
    <row r="353" spans="1:4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17.134999999999994</v>
      </c>
    </row>
    <row r="354" spans="1:4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17.134999999999994</v>
      </c>
    </row>
    <row r="355" spans="1:4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17.134999999999994</v>
      </c>
    </row>
    <row r="356" spans="1:4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17.134999999999994</v>
      </c>
    </row>
    <row r="357" spans="1:4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17.134999999999994</v>
      </c>
    </row>
    <row r="358" spans="1:4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17.134999999999994</v>
      </c>
    </row>
    <row r="359" spans="1:4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17.134999999999994</v>
      </c>
    </row>
    <row r="360" spans="1:4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17.134999999999994</v>
      </c>
    </row>
    <row r="361" spans="1:4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17.134999999999994</v>
      </c>
    </row>
    <row r="362" spans="1:4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17.134999999999994</v>
      </c>
    </row>
    <row r="363" spans="1:4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17.134999999999994</v>
      </c>
    </row>
    <row r="364" spans="1:4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17.134999999999994</v>
      </c>
    </row>
    <row r="365" spans="1:4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17.134999999999994</v>
      </c>
    </row>
    <row r="366" spans="1:4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17.134999999999994</v>
      </c>
    </row>
    <row r="367" spans="1:4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17.134999999999994</v>
      </c>
    </row>
    <row r="368" spans="1:4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17.134999999999994</v>
      </c>
    </row>
    <row r="369" spans="1:4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17.134999999999994</v>
      </c>
    </row>
    <row r="370" spans="1:4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17.134999999999994</v>
      </c>
    </row>
    <row r="371" spans="1:4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17.134999999999994</v>
      </c>
    </row>
    <row r="372" spans="1:4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17.134999999999994</v>
      </c>
    </row>
    <row r="373" spans="1:4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17.134999999999994</v>
      </c>
    </row>
    <row r="374" spans="1:4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17.134999999999994</v>
      </c>
    </row>
    <row r="375" spans="1:4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17.134999999999994</v>
      </c>
    </row>
    <row r="376" spans="1:4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17.134999999999994</v>
      </c>
    </row>
    <row r="377" spans="1:4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17.134999999999994</v>
      </c>
    </row>
    <row r="378" spans="1:4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17.134999999999994</v>
      </c>
    </row>
    <row r="379" spans="1:4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17.134999999999994</v>
      </c>
    </row>
    <row r="380" spans="1:4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17.134999999999994</v>
      </c>
    </row>
    <row r="381" spans="1:4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17.134999999999994</v>
      </c>
    </row>
    <row r="382" spans="1:4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17.134999999999994</v>
      </c>
    </row>
    <row r="383" spans="1:4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17.134999999999994</v>
      </c>
    </row>
    <row r="384" spans="1:4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17.134999999999994</v>
      </c>
    </row>
    <row r="385" spans="1:4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17.134999999999994</v>
      </c>
    </row>
    <row r="386" spans="1:4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17.134999999999994</v>
      </c>
    </row>
    <row r="387" spans="1:4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17.134999999999994</v>
      </c>
    </row>
    <row r="388" spans="1:4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17.134999999999994</v>
      </c>
    </row>
    <row r="389" spans="1:4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17.134999999999994</v>
      </c>
    </row>
    <row r="390" spans="1:4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17.134999999999994</v>
      </c>
    </row>
    <row r="391" spans="1:4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17.134999999999994</v>
      </c>
    </row>
    <row r="392" spans="1:4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17.134999999999994</v>
      </c>
    </row>
    <row r="393" spans="1:4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17.134999999999994</v>
      </c>
    </row>
    <row r="394" spans="1:4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17.134999999999994</v>
      </c>
    </row>
    <row r="395" spans="1:4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17.134999999999994</v>
      </c>
    </row>
    <row r="396" spans="1:4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17.134999999999994</v>
      </c>
    </row>
    <row r="397" spans="1:4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17.134999999999994</v>
      </c>
    </row>
    <row r="398" spans="1:4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17.134999999999994</v>
      </c>
    </row>
    <row r="399" spans="1:4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17.134999999999994</v>
      </c>
    </row>
    <row r="400" spans="1:4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17.134999999999994</v>
      </c>
    </row>
    <row r="401" spans="1:4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17.134999999999994</v>
      </c>
    </row>
    <row r="402" spans="1:4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17.134999999999994</v>
      </c>
    </row>
    <row r="403" spans="1:4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17.134999999999994</v>
      </c>
    </row>
    <row r="404" spans="1:4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17.134999999999994</v>
      </c>
    </row>
    <row r="405" spans="1:4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17.134999999999994</v>
      </c>
    </row>
    <row r="406" spans="1:4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17.134999999999994</v>
      </c>
    </row>
    <row r="407" spans="1:4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17.134999999999994</v>
      </c>
    </row>
    <row r="408" spans="1:4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17.134999999999994</v>
      </c>
    </row>
    <row r="409" spans="1:4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17.134999999999994</v>
      </c>
    </row>
    <row r="410" spans="1:4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17.134999999999994</v>
      </c>
    </row>
    <row r="411" spans="1:4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17.134999999999994</v>
      </c>
    </row>
    <row r="412" spans="1:4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17.134999999999994</v>
      </c>
    </row>
    <row r="413" spans="1:4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17.134999999999994</v>
      </c>
    </row>
    <row r="414" spans="1:4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17.134999999999994</v>
      </c>
    </row>
    <row r="415" spans="1:4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17.134999999999994</v>
      </c>
    </row>
    <row r="416" spans="1:4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17.134999999999994</v>
      </c>
    </row>
    <row r="417" spans="1:4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17.134999999999994</v>
      </c>
    </row>
    <row r="418" spans="1:4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17.134999999999994</v>
      </c>
    </row>
    <row r="419" spans="1:4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17.134999999999994</v>
      </c>
    </row>
    <row r="420" spans="1:4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17.134999999999994</v>
      </c>
    </row>
    <row r="421" spans="1:4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17.134999999999994</v>
      </c>
    </row>
    <row r="422" spans="1:4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17.134999999999994</v>
      </c>
    </row>
    <row r="423" spans="1:4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17.134999999999994</v>
      </c>
    </row>
    <row r="424" spans="1:4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17.134999999999994</v>
      </c>
    </row>
    <row r="425" spans="1:4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17.134999999999994</v>
      </c>
    </row>
    <row r="426" spans="1:4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17.134999999999994</v>
      </c>
    </row>
    <row r="427" spans="1:4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17.134999999999994</v>
      </c>
    </row>
    <row r="428" spans="1:4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17.134999999999994</v>
      </c>
    </row>
    <row r="429" spans="1:4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17.134999999999994</v>
      </c>
    </row>
    <row r="430" spans="1:4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17.134999999999994</v>
      </c>
    </row>
    <row r="431" spans="1:4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17.134999999999994</v>
      </c>
    </row>
    <row r="432" spans="1:4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17.134999999999994</v>
      </c>
    </row>
    <row r="433" spans="1:4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17.134999999999994</v>
      </c>
    </row>
    <row r="434" spans="1:4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17.134999999999994</v>
      </c>
    </row>
    <row r="435" spans="1:4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17.134999999999994</v>
      </c>
    </row>
    <row r="436" spans="1:4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17.134999999999994</v>
      </c>
    </row>
    <row r="437" spans="1:4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17.134999999999994</v>
      </c>
    </row>
    <row r="438" spans="1:4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17.134999999999994</v>
      </c>
    </row>
    <row r="439" spans="1:4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17.134999999999994</v>
      </c>
    </row>
    <row r="440" spans="1:4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17.134999999999994</v>
      </c>
    </row>
    <row r="441" spans="1:4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17.134999999999994</v>
      </c>
    </row>
    <row r="442" spans="1:4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17.134999999999994</v>
      </c>
    </row>
    <row r="443" spans="1:4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17.134999999999994</v>
      </c>
    </row>
    <row r="444" spans="1:4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17.134999999999994</v>
      </c>
    </row>
    <row r="445" spans="1:4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17.134999999999994</v>
      </c>
    </row>
    <row r="446" spans="1:4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17.134999999999994</v>
      </c>
    </row>
    <row r="447" spans="1:4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17.134999999999994</v>
      </c>
    </row>
    <row r="448" spans="1:4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17.134999999999994</v>
      </c>
    </row>
    <row r="449" spans="1:4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17.134999999999994</v>
      </c>
    </row>
    <row r="450" spans="1:4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17.134999999999994</v>
      </c>
    </row>
    <row r="451" spans="1:4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17.134999999999994</v>
      </c>
    </row>
    <row r="452" spans="1:4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17.134999999999994</v>
      </c>
    </row>
    <row r="453" spans="1:4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17.134999999999994</v>
      </c>
    </row>
    <row r="454" spans="1:4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17.134999999999994</v>
      </c>
    </row>
    <row r="455" spans="1:4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17.134999999999994</v>
      </c>
    </row>
    <row r="456" spans="1:4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17.134999999999994</v>
      </c>
    </row>
    <row r="457" spans="1:4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17.134999999999994</v>
      </c>
    </row>
    <row r="458" spans="1:4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17.134999999999994</v>
      </c>
    </row>
    <row r="459" spans="1:4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17.134999999999994</v>
      </c>
    </row>
    <row r="460" spans="1:4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17.134999999999994</v>
      </c>
    </row>
    <row r="461" spans="1:4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17.134999999999994</v>
      </c>
    </row>
    <row r="462" spans="1:4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17.134999999999994</v>
      </c>
    </row>
    <row r="463" spans="1:4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17.134999999999994</v>
      </c>
    </row>
    <row r="464" spans="1:4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17.134999999999994</v>
      </c>
    </row>
    <row r="465" spans="1:4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17.134999999999994</v>
      </c>
    </row>
    <row r="466" spans="1:4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17.134999999999994</v>
      </c>
    </row>
    <row r="467" spans="1:4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17.134999999999994</v>
      </c>
    </row>
    <row r="468" spans="1:4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17.134999999999994</v>
      </c>
    </row>
    <row r="469" spans="1:4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17.134999999999994</v>
      </c>
    </row>
    <row r="470" spans="1:4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17.134999999999994</v>
      </c>
    </row>
    <row r="471" spans="1:4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17.134999999999994</v>
      </c>
    </row>
    <row r="472" spans="1:4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17.134999999999994</v>
      </c>
    </row>
    <row r="473" spans="1:4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17.134999999999994</v>
      </c>
    </row>
    <row r="474" spans="1:4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17.134999999999994</v>
      </c>
    </row>
    <row r="475" spans="1:4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17.134999999999994</v>
      </c>
    </row>
    <row r="476" spans="1:4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17.134999999999994</v>
      </c>
    </row>
    <row r="477" spans="1:4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17.134999999999994</v>
      </c>
    </row>
    <row r="478" spans="1:4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17.134999999999994</v>
      </c>
    </row>
    <row r="479" spans="1:4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17.134999999999994</v>
      </c>
    </row>
    <row r="480" spans="1:4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17.134999999999994</v>
      </c>
    </row>
    <row r="481" spans="1:4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17.134999999999994</v>
      </c>
    </row>
    <row r="482" spans="1:4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17.134999999999994</v>
      </c>
    </row>
    <row r="483" spans="1:4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17.134999999999994</v>
      </c>
    </row>
    <row r="484" spans="1:4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17.134999999999994</v>
      </c>
    </row>
    <row r="485" spans="1:4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17.134999999999994</v>
      </c>
    </row>
    <row r="486" spans="1:4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17.134999999999994</v>
      </c>
    </row>
    <row r="487" spans="1:4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17.134999999999994</v>
      </c>
    </row>
    <row r="488" spans="1:4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17.134999999999994</v>
      </c>
    </row>
    <row r="489" spans="1:4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17.134999999999994</v>
      </c>
    </row>
    <row r="490" spans="1:4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17.134999999999994</v>
      </c>
    </row>
    <row r="491" spans="1:4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17.134999999999994</v>
      </c>
    </row>
    <row r="492" spans="1:4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17.134999999999994</v>
      </c>
    </row>
    <row r="493" spans="1:4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17.134999999999994</v>
      </c>
    </row>
    <row r="494" spans="1:4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17.134999999999994</v>
      </c>
    </row>
    <row r="495" spans="1:4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17.134999999999994</v>
      </c>
    </row>
    <row r="496" spans="1:4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17.134999999999994</v>
      </c>
    </row>
    <row r="497" spans="1:4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17.134999999999994</v>
      </c>
    </row>
    <row r="498" spans="1:4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17.134999999999994</v>
      </c>
    </row>
    <row r="499" spans="1:4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17.134999999999994</v>
      </c>
    </row>
    <row r="500" spans="1:4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17.134999999999994</v>
      </c>
    </row>
    <row r="501" spans="1:4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17.134999999999994</v>
      </c>
    </row>
    <row r="502" spans="1:4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17.134999999999994</v>
      </c>
    </row>
    <row r="503" spans="1:4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17.134999999999994</v>
      </c>
    </row>
    <row r="504" spans="1:4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17.134999999999994</v>
      </c>
    </row>
    <row r="505" spans="1:4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17.134999999999994</v>
      </c>
    </row>
    <row r="506" spans="1:4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17.134999999999994</v>
      </c>
    </row>
    <row r="507" spans="1:4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17.134999999999994</v>
      </c>
    </row>
    <row r="508" spans="1:4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17.134999999999994</v>
      </c>
    </row>
    <row r="509" spans="1:4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17.134999999999994</v>
      </c>
    </row>
    <row r="510" spans="1:4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17.134999999999994</v>
      </c>
    </row>
    <row r="511" spans="1:4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17.134999999999994</v>
      </c>
    </row>
    <row r="512" spans="1:4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17.134999999999994</v>
      </c>
    </row>
    <row r="513" spans="1:4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17.134999999999994</v>
      </c>
    </row>
    <row r="514" spans="1:4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17.134999999999994</v>
      </c>
    </row>
    <row r="515" spans="1:4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17.134999999999994</v>
      </c>
    </row>
    <row r="516" spans="1:4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17.134999999999994</v>
      </c>
    </row>
    <row r="517" spans="1:4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17.134999999999994</v>
      </c>
    </row>
    <row r="518" spans="1:4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17.134999999999994</v>
      </c>
    </row>
    <row r="519" spans="1:4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17.134999999999994</v>
      </c>
    </row>
    <row r="520" spans="1:4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17.134999999999994</v>
      </c>
    </row>
    <row r="521" spans="1:4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17.134999999999994</v>
      </c>
    </row>
    <row r="522" spans="1:4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17.134999999999994</v>
      </c>
    </row>
    <row r="523" spans="1:4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17.134999999999994</v>
      </c>
    </row>
    <row r="524" spans="1:4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17.134999999999994</v>
      </c>
    </row>
    <row r="525" spans="1:4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17.134999999999994</v>
      </c>
    </row>
    <row r="526" spans="1:4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17.134999999999994</v>
      </c>
    </row>
    <row r="527" spans="1:4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17.134999999999994</v>
      </c>
    </row>
    <row r="528" spans="1:4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17.134999999999994</v>
      </c>
    </row>
    <row r="529" spans="1:4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17.134999999999994</v>
      </c>
    </row>
    <row r="530" spans="1:4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17.134999999999994</v>
      </c>
    </row>
    <row r="531" spans="1:4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17.134999999999994</v>
      </c>
    </row>
    <row r="532" spans="1:4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17.134999999999994</v>
      </c>
    </row>
    <row r="533" spans="1:4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17.134999999999994</v>
      </c>
    </row>
    <row r="534" spans="1:4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17.134999999999994</v>
      </c>
    </row>
    <row r="535" spans="1:4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17.134999999999994</v>
      </c>
    </row>
    <row r="536" spans="1:4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17.134999999999994</v>
      </c>
    </row>
    <row r="537" spans="1:4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17.134999999999994</v>
      </c>
    </row>
    <row r="538" spans="1:4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17.134999999999994</v>
      </c>
    </row>
    <row r="539" spans="1:4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17.134999999999994</v>
      </c>
    </row>
    <row r="540" spans="1:4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17.134999999999994</v>
      </c>
    </row>
    <row r="541" spans="1:4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17.134999999999994</v>
      </c>
    </row>
    <row r="542" spans="1:4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17.134999999999994</v>
      </c>
    </row>
    <row r="543" spans="1:4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17.134999999999994</v>
      </c>
    </row>
    <row r="544" spans="1:4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17.134999999999994</v>
      </c>
    </row>
    <row r="545" spans="1:4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17.134999999999994</v>
      </c>
    </row>
    <row r="546" spans="1:4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17.134999999999994</v>
      </c>
    </row>
    <row r="547" spans="1:4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17.134999999999994</v>
      </c>
    </row>
    <row r="548" spans="1:4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17.134999999999994</v>
      </c>
    </row>
    <row r="549" spans="1:4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17.134999999999994</v>
      </c>
    </row>
    <row r="550" spans="1:4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17.134999999999994</v>
      </c>
    </row>
    <row r="551" spans="1:4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17.134999999999994</v>
      </c>
    </row>
    <row r="552" spans="1:4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17.134999999999994</v>
      </c>
    </row>
    <row r="553" spans="1:4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17.134999999999994</v>
      </c>
    </row>
    <row r="554" spans="1:4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17.134999999999994</v>
      </c>
    </row>
    <row r="555" spans="1:4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17.134999999999994</v>
      </c>
    </row>
    <row r="556" spans="1:4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17.134999999999994</v>
      </c>
    </row>
    <row r="557" spans="1:4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17.134999999999994</v>
      </c>
    </row>
    <row r="558" spans="1:4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17.134999999999994</v>
      </c>
    </row>
    <row r="559" spans="1:4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17.134999999999994</v>
      </c>
    </row>
    <row r="560" spans="1:4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17.134999999999994</v>
      </c>
    </row>
    <row r="561" spans="1:4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17.134999999999994</v>
      </c>
    </row>
    <row r="562" spans="1:4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17.134999999999994</v>
      </c>
    </row>
    <row r="563" spans="1:4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17.134999999999994</v>
      </c>
    </row>
    <row r="564" spans="1:4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17.134999999999994</v>
      </c>
    </row>
    <row r="565" spans="1:4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17.134999999999994</v>
      </c>
    </row>
    <row r="566" spans="1:4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17.134999999999994</v>
      </c>
    </row>
    <row r="567" spans="1:4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17.134999999999994</v>
      </c>
    </row>
    <row r="568" spans="1:4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17.134999999999994</v>
      </c>
    </row>
    <row r="569" spans="1:4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17.134999999999994</v>
      </c>
    </row>
    <row r="570" spans="1:4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17.134999999999994</v>
      </c>
    </row>
    <row r="571" spans="1:4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17.134999999999994</v>
      </c>
    </row>
    <row r="572" spans="1:4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17.134999999999994</v>
      </c>
    </row>
    <row r="573" spans="1:4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17.134999999999994</v>
      </c>
    </row>
    <row r="574" spans="1:4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17.134999999999994</v>
      </c>
    </row>
    <row r="575" spans="1:4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17.134999999999994</v>
      </c>
    </row>
    <row r="576" spans="1:4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17.134999999999994</v>
      </c>
    </row>
    <row r="577" spans="1:4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17.134999999999994</v>
      </c>
    </row>
    <row r="578" spans="1:4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17.134999999999994</v>
      </c>
    </row>
    <row r="579" spans="1:4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17.134999999999994</v>
      </c>
    </row>
    <row r="580" spans="1:4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17.134999999999994</v>
      </c>
    </row>
    <row r="581" spans="1:4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17.134999999999994</v>
      </c>
    </row>
    <row r="582" spans="1:4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17.134999999999994</v>
      </c>
    </row>
    <row r="583" spans="1:4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17.134999999999994</v>
      </c>
    </row>
    <row r="584" spans="1:4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17.134999999999994</v>
      </c>
    </row>
    <row r="585" spans="1:4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17.134999999999994</v>
      </c>
    </row>
    <row r="586" spans="1:4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17.134999999999994</v>
      </c>
    </row>
    <row r="587" spans="1:4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17.134999999999994</v>
      </c>
    </row>
    <row r="588" spans="1:4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17.134999999999994</v>
      </c>
    </row>
    <row r="589" spans="1:4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17.134999999999994</v>
      </c>
    </row>
    <row r="590" spans="1:4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17.134999999999994</v>
      </c>
    </row>
    <row r="591" spans="1:4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17.134999999999994</v>
      </c>
    </row>
    <row r="592" spans="1:4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17.134999999999994</v>
      </c>
    </row>
    <row r="593" spans="1:4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17.134999999999994</v>
      </c>
    </row>
    <row r="594" spans="1:4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17.134999999999994</v>
      </c>
    </row>
    <row r="595" spans="1:4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17.134999999999994</v>
      </c>
    </row>
    <row r="596" spans="1:4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17.134999999999994</v>
      </c>
    </row>
    <row r="597" spans="1:4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17.134999999999994</v>
      </c>
    </row>
    <row r="598" spans="1:4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17.134999999999994</v>
      </c>
    </row>
    <row r="599" spans="1:4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17.134999999999994</v>
      </c>
    </row>
    <row r="600" spans="1:4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17.134999999999994</v>
      </c>
    </row>
    <row r="601" spans="1:4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17.134999999999994</v>
      </c>
    </row>
    <row r="602" spans="1:4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17.134999999999994</v>
      </c>
    </row>
    <row r="603" spans="1:4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17.134999999999994</v>
      </c>
    </row>
    <row r="604" spans="1:4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17.134999999999994</v>
      </c>
    </row>
    <row r="605" spans="1:4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17.134999999999994</v>
      </c>
    </row>
    <row r="606" spans="1:4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17.134999999999994</v>
      </c>
    </row>
    <row r="607" spans="1:4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17.134999999999994</v>
      </c>
    </row>
    <row r="608" spans="1:4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17.134999999999994</v>
      </c>
    </row>
    <row r="609" spans="1:4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17.134999999999994</v>
      </c>
    </row>
    <row r="610" spans="1:4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17.134999999999994</v>
      </c>
    </row>
    <row r="611" spans="1:4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17.134999999999994</v>
      </c>
    </row>
    <row r="612" spans="1:4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17.134999999999994</v>
      </c>
    </row>
    <row r="613" spans="1:4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17.134999999999994</v>
      </c>
    </row>
    <row r="614" spans="1:4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17.134999999999994</v>
      </c>
    </row>
    <row r="615" spans="1:4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17.134999999999994</v>
      </c>
    </row>
    <row r="616" spans="1:4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17.134999999999994</v>
      </c>
    </row>
    <row r="617" spans="1:4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17.134999999999994</v>
      </c>
    </row>
    <row r="618" spans="1:4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17.134999999999994</v>
      </c>
    </row>
    <row r="619" spans="1:4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17.134999999999994</v>
      </c>
    </row>
    <row r="620" spans="1:4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17.134999999999994</v>
      </c>
    </row>
    <row r="621" spans="1:4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17.134999999999994</v>
      </c>
    </row>
    <row r="622" spans="1:4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17.134999999999994</v>
      </c>
    </row>
    <row r="623" spans="1:4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17.134999999999994</v>
      </c>
    </row>
    <row r="624" spans="1:4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17.134999999999994</v>
      </c>
    </row>
    <row r="625" spans="1:4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17.134999999999994</v>
      </c>
    </row>
    <row r="626" spans="1:4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17.134999999999994</v>
      </c>
    </row>
    <row r="627" spans="1:4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17.134999999999994</v>
      </c>
    </row>
    <row r="628" spans="1:4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17.134999999999994</v>
      </c>
    </row>
    <row r="629" spans="1:4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17.134999999999994</v>
      </c>
    </row>
    <row r="630" spans="1:4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17.134999999999994</v>
      </c>
    </row>
    <row r="631" spans="1:4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17.134999999999994</v>
      </c>
    </row>
    <row r="632" spans="1:4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17.134999999999994</v>
      </c>
    </row>
    <row r="633" spans="1:4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17.134999999999994</v>
      </c>
    </row>
    <row r="634" spans="1:4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17.134999999999994</v>
      </c>
    </row>
    <row r="635" spans="1:4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17.134999999999994</v>
      </c>
    </row>
    <row r="636" spans="1:4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17.134999999999994</v>
      </c>
    </row>
    <row r="637" spans="1:4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17.134999999999994</v>
      </c>
    </row>
    <row r="638" spans="1:4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17.134999999999994</v>
      </c>
    </row>
    <row r="639" spans="1:4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17.134999999999994</v>
      </c>
    </row>
    <row r="640" spans="1:4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17.134999999999994</v>
      </c>
    </row>
    <row r="641" spans="1:4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17.134999999999994</v>
      </c>
    </row>
    <row r="642" spans="1:4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17.134999999999994</v>
      </c>
    </row>
    <row r="643" spans="1:4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17.134999999999994</v>
      </c>
    </row>
    <row r="644" spans="1:4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17.134999999999994</v>
      </c>
    </row>
    <row r="645" spans="1:4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17.134999999999994</v>
      </c>
    </row>
    <row r="646" spans="1:4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17.134999999999994</v>
      </c>
    </row>
    <row r="647" spans="1:4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17.134999999999994</v>
      </c>
    </row>
    <row r="648" spans="1:4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17.134999999999994</v>
      </c>
    </row>
    <row r="649" spans="1:4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17.134999999999994</v>
      </c>
    </row>
    <row r="650" spans="1:4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17.134999999999994</v>
      </c>
    </row>
    <row r="651" spans="1:4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17.134999999999994</v>
      </c>
    </row>
    <row r="652" spans="1:4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17.134999999999994</v>
      </c>
    </row>
    <row r="653" spans="1:4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17.134999999999994</v>
      </c>
    </row>
    <row r="654" spans="1:4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17.134999999999994</v>
      </c>
    </row>
    <row r="655" spans="1:4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17.134999999999994</v>
      </c>
    </row>
    <row r="656" spans="1:4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17.134999999999994</v>
      </c>
    </row>
    <row r="657" spans="1:4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17.134999999999994</v>
      </c>
    </row>
    <row r="658" spans="1:4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17.134999999999994</v>
      </c>
    </row>
    <row r="659" spans="1:4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17.134999999999994</v>
      </c>
    </row>
    <row r="660" spans="1:4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17.134999999999994</v>
      </c>
    </row>
    <row r="661" spans="1:4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17.134999999999994</v>
      </c>
    </row>
    <row r="662" spans="1:4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17.134999999999994</v>
      </c>
    </row>
    <row r="663" spans="1:4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17.134999999999994</v>
      </c>
    </row>
    <row r="664" spans="1:4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17.134999999999994</v>
      </c>
    </row>
    <row r="665" spans="1:4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17.134999999999994</v>
      </c>
    </row>
    <row r="666" spans="1:4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17.134999999999994</v>
      </c>
    </row>
    <row r="667" spans="1:4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17.134999999999994</v>
      </c>
    </row>
    <row r="668" spans="1:4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17.134999999999994</v>
      </c>
    </row>
    <row r="669" spans="1:4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17.134999999999994</v>
      </c>
    </row>
    <row r="670" spans="1:4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17.134999999999994</v>
      </c>
    </row>
    <row r="671" spans="1:4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17.134999999999994</v>
      </c>
    </row>
    <row r="672" spans="1:4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17.134999999999994</v>
      </c>
    </row>
    <row r="673" spans="1:4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17.134999999999994</v>
      </c>
    </row>
    <row r="674" spans="1:4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17.134999999999994</v>
      </c>
    </row>
    <row r="675" spans="1:4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17.134999999999994</v>
      </c>
    </row>
    <row r="676" spans="1:4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17.134999999999994</v>
      </c>
    </row>
    <row r="677" spans="1:4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17.134999999999994</v>
      </c>
    </row>
    <row r="678" spans="1:4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17.134999999999994</v>
      </c>
    </row>
    <row r="679" spans="1:4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17.134999999999994</v>
      </c>
    </row>
    <row r="680" spans="1:4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17.134999999999994</v>
      </c>
    </row>
    <row r="681" spans="1:4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17.134999999999994</v>
      </c>
    </row>
    <row r="682" spans="1:4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17.134999999999994</v>
      </c>
    </row>
    <row r="683" spans="1:4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17.134999999999994</v>
      </c>
    </row>
    <row r="684" spans="1:4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17.134999999999994</v>
      </c>
    </row>
    <row r="685" spans="1:4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17.134999999999994</v>
      </c>
    </row>
    <row r="686" spans="1:4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17.134999999999994</v>
      </c>
    </row>
    <row r="687" spans="1:4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17.134999999999994</v>
      </c>
    </row>
    <row r="688" spans="1:4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17.134999999999994</v>
      </c>
    </row>
    <row r="689" spans="1:4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17.134999999999994</v>
      </c>
    </row>
    <row r="690" spans="1:4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17.134999999999994</v>
      </c>
    </row>
    <row r="691" spans="1:4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17.134999999999994</v>
      </c>
    </row>
    <row r="692" spans="1:4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17.134999999999994</v>
      </c>
    </row>
    <row r="693" spans="1:4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17.134999999999994</v>
      </c>
    </row>
    <row r="694" spans="1:4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17.134999999999994</v>
      </c>
    </row>
    <row r="695" spans="1:4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17.134999999999994</v>
      </c>
    </row>
    <row r="696" spans="1:4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17.134999999999994</v>
      </c>
    </row>
    <row r="697" spans="1:4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17.134999999999994</v>
      </c>
    </row>
    <row r="698" spans="1:4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17.134999999999994</v>
      </c>
    </row>
    <row r="699" spans="1:4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17.134999999999994</v>
      </c>
    </row>
    <row r="700" spans="1:4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17.134999999999994</v>
      </c>
    </row>
    <row r="701" spans="1:4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17.134999999999994</v>
      </c>
    </row>
    <row r="702" spans="1:4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17.134999999999994</v>
      </c>
    </row>
    <row r="703" spans="1:4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17.134999999999994</v>
      </c>
    </row>
    <row r="704" spans="1:4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17.134999999999994</v>
      </c>
    </row>
    <row r="705" spans="1:4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17.134999999999994</v>
      </c>
    </row>
    <row r="706" spans="1:4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17.134999999999994</v>
      </c>
    </row>
    <row r="707" spans="1:4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17.134999999999994</v>
      </c>
    </row>
    <row r="708" spans="1:4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17.134999999999994</v>
      </c>
    </row>
    <row r="709" spans="1:4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17.134999999999994</v>
      </c>
    </row>
    <row r="710" spans="1:4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17.134999999999994</v>
      </c>
    </row>
    <row r="711" spans="1:4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17.134999999999994</v>
      </c>
    </row>
    <row r="712" spans="1:4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17.134999999999994</v>
      </c>
    </row>
    <row r="713" spans="1:4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17.134999999999994</v>
      </c>
    </row>
    <row r="714" spans="1:4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17.134999999999994</v>
      </c>
    </row>
    <row r="715" spans="1:4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17.134999999999994</v>
      </c>
    </row>
    <row r="716" spans="1:4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17.134999999999994</v>
      </c>
    </row>
    <row r="717" spans="1:4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17.134999999999994</v>
      </c>
    </row>
    <row r="718" spans="1:4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17.134999999999994</v>
      </c>
    </row>
    <row r="719" spans="1:4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17.134999999999994</v>
      </c>
    </row>
    <row r="720" spans="1:4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17.134999999999994</v>
      </c>
    </row>
    <row r="721" spans="1:4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17.134999999999994</v>
      </c>
    </row>
    <row r="722" spans="1:4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17.134999999999994</v>
      </c>
    </row>
    <row r="723" spans="1:4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17.134999999999994</v>
      </c>
    </row>
    <row r="724" spans="1:4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17.134999999999994</v>
      </c>
    </row>
    <row r="725" spans="1:4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17.134999999999994</v>
      </c>
    </row>
    <row r="726" spans="1:4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17.134999999999994</v>
      </c>
    </row>
    <row r="727" spans="1:4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17.134999999999994</v>
      </c>
    </row>
    <row r="728" spans="1:4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17.134999999999994</v>
      </c>
    </row>
    <row r="729" spans="1:4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17.134999999999994</v>
      </c>
    </row>
    <row r="730" spans="1:4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17.134999999999994</v>
      </c>
    </row>
    <row r="731" spans="1:4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17.134999999999994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CFCEB-DB95-4613-9477-744B0030A0CC}">
  <sheetPr codeName="Sheet8"/>
  <dimension ref="B2:L33"/>
  <sheetViews>
    <sheetView showGridLines="0" zoomScaleNormal="100" workbookViewId="0">
      <selection activeCell="E25" sqref="E25"/>
    </sheetView>
  </sheetViews>
  <sheetFormatPr defaultRowHeight="15" x14ac:dyDescent="0.25"/>
  <cols>
    <col min="3" max="3" width="12.5703125" customWidth="1"/>
    <col min="4" max="4" width="11.28515625" customWidth="1"/>
    <col min="5" max="5" width="4.5703125" bestFit="1" customWidth="1"/>
    <col min="6" max="6" width="5.5703125" bestFit="1" customWidth="1"/>
    <col min="7" max="7" width="6.5703125" bestFit="1" customWidth="1"/>
    <col min="8" max="8" width="7.5703125" bestFit="1" customWidth="1"/>
    <col min="9" max="9" width="9.140625" bestFit="1" customWidth="1"/>
    <col min="10" max="10" width="10.140625" bestFit="1" customWidth="1"/>
    <col min="11" max="11" width="11.140625" bestFit="1" customWidth="1"/>
    <col min="12" max="12" width="12.7109375" bestFit="1" customWidth="1"/>
  </cols>
  <sheetData>
    <row r="2" spans="8:8" ht="36" x14ac:dyDescent="0.55000000000000004">
      <c r="H2" s="19" t="s">
        <v>48</v>
      </c>
    </row>
    <row r="22" spans="2:12" x14ac:dyDescent="0.25">
      <c r="E22" s="63" t="s">
        <v>49</v>
      </c>
      <c r="F22" s="63"/>
      <c r="G22" s="63"/>
      <c r="H22" s="63"/>
      <c r="I22" s="63"/>
      <c r="J22" s="63"/>
      <c r="K22" s="63"/>
      <c r="L22" s="63"/>
    </row>
    <row r="23" spans="2:12" ht="30.75" customHeight="1" x14ac:dyDescent="0.25">
      <c r="B23" s="20"/>
      <c r="C23" s="21" t="s">
        <v>50</v>
      </c>
      <c r="D23" s="21" t="s">
        <v>51</v>
      </c>
      <c r="E23" s="22">
        <v>100</v>
      </c>
      <c r="F23" s="22">
        <v>1000</v>
      </c>
      <c r="G23" s="22">
        <v>10000</v>
      </c>
      <c r="H23" s="22">
        <v>100000</v>
      </c>
      <c r="I23" s="22">
        <v>1000000</v>
      </c>
      <c r="J23" s="22">
        <v>10000000</v>
      </c>
      <c r="K23" s="22">
        <v>100000000</v>
      </c>
      <c r="L23" s="22">
        <v>1000000000</v>
      </c>
    </row>
    <row r="24" spans="2:12" x14ac:dyDescent="0.25">
      <c r="B24" s="23" t="s">
        <v>52</v>
      </c>
      <c r="C24" s="24">
        <v>0.68268949213700003</v>
      </c>
      <c r="D24" s="24">
        <f>100%-C24</f>
        <v>0.31731050786299997</v>
      </c>
      <c r="E24" s="25">
        <f>$D24*E$23</f>
        <v>31.731050786299996</v>
      </c>
      <c r="F24" s="25">
        <f t="shared" ref="F24:L28" si="0">$D24*F$23</f>
        <v>317.31050786299994</v>
      </c>
      <c r="G24" s="25">
        <f t="shared" si="0"/>
        <v>3173.1050786299998</v>
      </c>
      <c r="H24" s="25">
        <f t="shared" si="0"/>
        <v>31731.050786299998</v>
      </c>
      <c r="I24" s="25">
        <f t="shared" si="0"/>
        <v>317310.50786299998</v>
      </c>
      <c r="J24" s="25">
        <f>$D24*J$23</f>
        <v>3173105.0786299999</v>
      </c>
      <c r="K24" s="25">
        <f t="shared" si="0"/>
        <v>31731050.786299996</v>
      </c>
      <c r="L24" s="25">
        <f t="shared" si="0"/>
        <v>317310507.86299998</v>
      </c>
    </row>
    <row r="25" spans="2:12" x14ac:dyDescent="0.25">
      <c r="B25" s="26" t="s">
        <v>53</v>
      </c>
      <c r="C25" s="24">
        <v>0.95449973610399996</v>
      </c>
      <c r="D25" s="24">
        <f>100%-C25</f>
        <v>4.5500263896000037E-2</v>
      </c>
      <c r="E25" s="25">
        <f>$D25*E$23</f>
        <v>4.5500263896000037</v>
      </c>
      <c r="F25" s="25">
        <f t="shared" si="0"/>
        <v>45.500263896000035</v>
      </c>
      <c r="G25" s="25">
        <f t="shared" si="0"/>
        <v>455.00263896000035</v>
      </c>
      <c r="H25" s="25">
        <f t="shared" si="0"/>
        <v>4550.0263896000033</v>
      </c>
      <c r="I25" s="25">
        <f t="shared" si="0"/>
        <v>45500.26389600004</v>
      </c>
      <c r="J25" s="25">
        <f>$D25*J$23</f>
        <v>455002.63896000036</v>
      </c>
      <c r="K25" s="25">
        <f t="shared" si="0"/>
        <v>4550026.3896000041</v>
      </c>
      <c r="L25" s="25">
        <f t="shared" si="0"/>
        <v>45500263.896000035</v>
      </c>
    </row>
    <row r="26" spans="2:12" x14ac:dyDescent="0.25">
      <c r="B26" s="23" t="s">
        <v>54</v>
      </c>
      <c r="C26" s="24">
        <v>0.99730020393700003</v>
      </c>
      <c r="D26" s="24">
        <f>100%-C26</f>
        <v>2.6997960629999707E-3</v>
      </c>
      <c r="E26" s="27"/>
      <c r="F26" s="25">
        <f>$D26*F$23</f>
        <v>2.6997960629999707</v>
      </c>
      <c r="G26" s="25">
        <f t="shared" si="0"/>
        <v>26.997960629999707</v>
      </c>
      <c r="H26" s="25">
        <f t="shared" si="0"/>
        <v>269.97960629999704</v>
      </c>
      <c r="I26" s="25">
        <f t="shared" si="0"/>
        <v>2699.7960629999707</v>
      </c>
      <c r="J26" s="25">
        <f>$D26*J$23</f>
        <v>26997.960629999707</v>
      </c>
      <c r="K26" s="25">
        <f t="shared" si="0"/>
        <v>269979.60629999707</v>
      </c>
      <c r="L26" s="25">
        <f t="shared" si="0"/>
        <v>2699796.0629999707</v>
      </c>
    </row>
    <row r="27" spans="2:12" x14ac:dyDescent="0.25">
      <c r="B27" s="26" t="s">
        <v>55</v>
      </c>
      <c r="C27" s="28">
        <v>0.99993665751600003</v>
      </c>
      <c r="D27" s="28">
        <f t="shared" ref="D27:D29" si="1">100%-C27</f>
        <v>6.3342483999972998E-5</v>
      </c>
      <c r="E27" s="27"/>
      <c r="F27" s="27"/>
      <c r="G27" s="25">
        <f>$D27*G$23</f>
        <v>0.63342483999972998</v>
      </c>
      <c r="H27" s="25">
        <f>$D27*H$23</f>
        <v>6.3342483999972998</v>
      </c>
      <c r="I27" s="25">
        <f>$D27*I$23</f>
        <v>63.342483999972998</v>
      </c>
      <c r="J27" s="25">
        <f>$D27*J$23</f>
        <v>633.42483999973001</v>
      </c>
      <c r="K27" s="25">
        <f t="shared" si="0"/>
        <v>6334.2483999973001</v>
      </c>
      <c r="L27" s="25">
        <f t="shared" si="0"/>
        <v>63342.483999972996</v>
      </c>
    </row>
    <row r="28" spans="2:12" x14ac:dyDescent="0.25">
      <c r="B28" s="23" t="s">
        <v>56</v>
      </c>
      <c r="C28" s="29">
        <v>0.99999942669700004</v>
      </c>
      <c r="D28" s="29">
        <f t="shared" si="1"/>
        <v>5.7330299996216638E-7</v>
      </c>
      <c r="E28" s="27"/>
      <c r="F28" s="27"/>
      <c r="G28" s="27"/>
      <c r="H28" s="27"/>
      <c r="I28" s="25">
        <f>$D28*I$23</f>
        <v>0.57330299996216638</v>
      </c>
      <c r="J28" s="25">
        <f>$D28*J$23</f>
        <v>5.7330299996216638</v>
      </c>
      <c r="K28" s="25">
        <f t="shared" si="0"/>
        <v>57.330299996216638</v>
      </c>
      <c r="L28" s="25">
        <f t="shared" si="0"/>
        <v>573.30299996216638</v>
      </c>
    </row>
    <row r="29" spans="2:12" x14ac:dyDescent="0.25">
      <c r="B29" s="26" t="s">
        <v>57</v>
      </c>
      <c r="C29" s="30">
        <v>0.99999999802700001</v>
      </c>
      <c r="D29" s="30">
        <f t="shared" si="1"/>
        <v>1.972999985611068E-9</v>
      </c>
      <c r="E29" s="27"/>
      <c r="F29" s="27"/>
      <c r="G29" s="27"/>
      <c r="H29" s="27"/>
      <c r="I29" s="27"/>
      <c r="J29" s="27"/>
      <c r="K29" s="27"/>
      <c r="L29" s="25">
        <f>$D29*L$23</f>
        <v>1.972999985611068</v>
      </c>
    </row>
    <row r="30" spans="2:12" x14ac:dyDescent="0.25">
      <c r="C30" s="31"/>
    </row>
    <row r="31" spans="2:12" x14ac:dyDescent="0.25">
      <c r="B31" s="32"/>
      <c r="C31" s="31"/>
    </row>
    <row r="32" spans="2:12" x14ac:dyDescent="0.25">
      <c r="C32" s="31"/>
    </row>
    <row r="33" spans="2:3" x14ac:dyDescent="0.25">
      <c r="B33" s="32"/>
      <c r="C33" s="31"/>
    </row>
  </sheetData>
  <mergeCells count="1">
    <mergeCell ref="E22:L22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87DE4-7A94-447D-8DE0-11BD66B0C32D}">
  <sheetPr codeName="Sheet12"/>
  <dimension ref="B2:M27"/>
  <sheetViews>
    <sheetView showGridLines="0" topLeftCell="F1" workbookViewId="0">
      <selection activeCell="K16" sqref="K16"/>
    </sheetView>
  </sheetViews>
  <sheetFormatPr defaultRowHeight="15" x14ac:dyDescent="0.25"/>
  <cols>
    <col min="2" max="2" width="20.140625" customWidth="1"/>
    <col min="3" max="3" width="8.7109375" style="2" customWidth="1"/>
    <col min="5" max="5" width="14.85546875" style="41" customWidth="1"/>
    <col min="8" max="8" width="23.28515625" customWidth="1"/>
    <col min="9" max="9" width="6.85546875" customWidth="1"/>
    <col min="10" max="10" width="6.7109375" customWidth="1"/>
    <col min="11" max="11" width="14.140625" style="2" customWidth="1"/>
    <col min="12" max="13" width="20.42578125" bestFit="1" customWidth="1"/>
  </cols>
  <sheetData>
    <row r="2" spans="2:13" ht="18" thickBot="1" x14ac:dyDescent="0.35">
      <c r="B2" s="64" t="s">
        <v>71</v>
      </c>
      <c r="C2" s="64"/>
      <c r="D2" s="64"/>
      <c r="E2" s="64"/>
      <c r="H2" s="64" t="s">
        <v>58</v>
      </c>
      <c r="I2" s="64"/>
      <c r="J2" s="64"/>
      <c r="K2" s="64"/>
    </row>
    <row r="3" spans="2:13" ht="9" customHeight="1" thickTop="1" x14ac:dyDescent="0.25">
      <c r="C3"/>
      <c r="E3"/>
    </row>
    <row r="4" spans="2:13" x14ac:dyDescent="0.25">
      <c r="B4" s="8" t="s">
        <v>72</v>
      </c>
      <c r="C4" s="3">
        <v>48</v>
      </c>
      <c r="E4" s="40" t="s">
        <v>73</v>
      </c>
      <c r="H4" s="8" t="s">
        <v>59</v>
      </c>
      <c r="I4" s="33">
        <v>0.5</v>
      </c>
      <c r="K4" s="6" t="s">
        <v>60</v>
      </c>
    </row>
    <row r="5" spans="2:13" x14ac:dyDescent="0.25">
      <c r="B5" s="8" t="s">
        <v>74</v>
      </c>
      <c r="C5" s="3">
        <v>3.0000000000000001E-3</v>
      </c>
      <c r="E5" s="40">
        <f>BINOMDIST(C6,C4,C5,C7)</f>
        <v>0.12503595996144101</v>
      </c>
      <c r="H5" s="8" t="s">
        <v>61</v>
      </c>
      <c r="I5" s="8">
        <v>0.14777000000000001</v>
      </c>
      <c r="K5" s="34">
        <f>CEILING(((NORMSINV(1-(1-I4)/2)*I6)/I5)^2,1)</f>
        <v>31</v>
      </c>
    </row>
    <row r="6" spans="2:13" x14ac:dyDescent="0.25">
      <c r="B6" s="8" t="s">
        <v>75</v>
      </c>
      <c r="C6" s="3">
        <v>1</v>
      </c>
      <c r="H6" s="8" t="s">
        <v>48</v>
      </c>
      <c r="I6" s="8">
        <v>1.2</v>
      </c>
    </row>
    <row r="7" spans="2:13" x14ac:dyDescent="0.25">
      <c r="B7" s="8" t="s">
        <v>76</v>
      </c>
      <c r="C7" s="3" t="b">
        <v>0</v>
      </c>
    </row>
    <row r="8" spans="2:13" ht="15.75" customHeight="1" x14ac:dyDescent="0.25"/>
    <row r="10" spans="2:13" ht="18" thickBot="1" x14ac:dyDescent="0.35">
      <c r="B10" s="64" t="s">
        <v>77</v>
      </c>
      <c r="C10" s="64"/>
      <c r="D10" s="64"/>
      <c r="E10" s="64"/>
      <c r="H10" s="64" t="s">
        <v>62</v>
      </c>
      <c r="I10" s="64"/>
      <c r="J10" s="64"/>
      <c r="K10" s="64"/>
      <c r="L10" s="35"/>
      <c r="M10" s="35"/>
    </row>
    <row r="11" spans="2:13" ht="9" customHeight="1" thickTop="1" x14ac:dyDescent="0.25">
      <c r="B11" s="42"/>
    </row>
    <row r="12" spans="2:13" x14ac:dyDescent="0.25">
      <c r="B12" s="8" t="s">
        <v>78</v>
      </c>
      <c r="C12" s="3">
        <v>0</v>
      </c>
      <c r="E12" s="40" t="s">
        <v>73</v>
      </c>
      <c r="H12" s="8" t="s">
        <v>59</v>
      </c>
      <c r="I12" s="33">
        <v>0.5</v>
      </c>
      <c r="K12" s="6" t="s">
        <v>63</v>
      </c>
      <c r="L12" s="6" t="s">
        <v>64</v>
      </c>
      <c r="M12" s="6" t="s">
        <v>65</v>
      </c>
    </row>
    <row r="13" spans="2:13" x14ac:dyDescent="0.25">
      <c r="B13" s="8" t="s">
        <v>79</v>
      </c>
      <c r="C13" s="3">
        <v>2.2999999999999998</v>
      </c>
      <c r="E13" s="40">
        <f>POISSON(C12,C13,C14)</f>
        <v>0.10025884372280375</v>
      </c>
      <c r="H13" s="8" t="s">
        <v>66</v>
      </c>
      <c r="I13" s="8">
        <v>5</v>
      </c>
      <c r="K13" s="6">
        <f>_xlfn.CONFIDENCE.NORM(1-I12,I14,I15)</f>
        <v>0.14777330039536743</v>
      </c>
      <c r="L13" s="36">
        <f>I13-K13</f>
        <v>4.8522266996046328</v>
      </c>
      <c r="M13" s="36">
        <f>I13+K13</f>
        <v>5.1477733003953672</v>
      </c>
    </row>
    <row r="14" spans="2:13" x14ac:dyDescent="0.25">
      <c r="B14" s="8" t="s">
        <v>76</v>
      </c>
      <c r="C14" s="3" t="b">
        <v>1</v>
      </c>
      <c r="H14" s="8" t="s">
        <v>67</v>
      </c>
      <c r="I14" s="8">
        <v>1.2</v>
      </c>
    </row>
    <row r="15" spans="2:13" x14ac:dyDescent="0.25">
      <c r="H15" s="8" t="s">
        <v>68</v>
      </c>
      <c r="I15" s="37">
        <v>30</v>
      </c>
    </row>
    <row r="17" spans="2:11" ht="18" thickBot="1" x14ac:dyDescent="0.35">
      <c r="B17" s="64" t="s">
        <v>80</v>
      </c>
      <c r="C17" s="64"/>
      <c r="D17" s="64"/>
      <c r="E17" s="64"/>
      <c r="H17" s="64" t="s">
        <v>69</v>
      </c>
      <c r="I17" s="64"/>
      <c r="J17" s="64"/>
      <c r="K17" s="64"/>
    </row>
    <row r="18" spans="2:11" ht="9" customHeight="1" thickTop="1" x14ac:dyDescent="0.25">
      <c r="B18" s="42"/>
    </row>
    <row r="19" spans="2:11" x14ac:dyDescent="0.25">
      <c r="B19" s="8" t="s">
        <v>81</v>
      </c>
      <c r="C19" s="3">
        <v>1</v>
      </c>
      <c r="E19" s="40" t="s">
        <v>73</v>
      </c>
      <c r="H19" s="8" t="s">
        <v>59</v>
      </c>
      <c r="I19" s="33">
        <v>0.9</v>
      </c>
      <c r="K19" s="6" t="s">
        <v>63</v>
      </c>
    </row>
    <row r="20" spans="2:11" x14ac:dyDescent="0.25">
      <c r="B20" s="8" t="s">
        <v>82</v>
      </c>
      <c r="C20" s="3">
        <v>200</v>
      </c>
      <c r="E20" s="40">
        <f>HYPGEOMDIST(C19,C20,C21,C22)</f>
        <v>0.3611974841430648</v>
      </c>
      <c r="H20" s="8" t="s">
        <v>70</v>
      </c>
      <c r="I20" s="8">
        <v>16</v>
      </c>
      <c r="K20" s="38" t="str">
        <f>ROUND(I20/I21,3)&amp;" ± "&amp;ROUND(NORMSINV(1-(1-I19)/2)*SQRT((I20/I21)*(1-(I20/I21))/I21),3)</f>
        <v>0.16 ± 0.06</v>
      </c>
    </row>
    <row r="21" spans="2:11" x14ac:dyDescent="0.25">
      <c r="B21" s="8" t="s">
        <v>83</v>
      </c>
      <c r="C21" s="3">
        <v>200</v>
      </c>
      <c r="H21" s="8" t="s">
        <v>68</v>
      </c>
      <c r="I21" s="37">
        <v>100</v>
      </c>
    </row>
    <row r="22" spans="2:11" x14ac:dyDescent="0.25">
      <c r="B22" s="8" t="s">
        <v>84</v>
      </c>
      <c r="C22" s="3">
        <v>49998</v>
      </c>
    </row>
    <row r="24" spans="2:11" ht="18" thickBot="1" x14ac:dyDescent="0.35">
      <c r="B24" s="64" t="s">
        <v>85</v>
      </c>
      <c r="C24" s="64"/>
      <c r="D24" s="64"/>
      <c r="E24" s="64"/>
    </row>
    <row r="25" spans="2:11" ht="15.75" thickTop="1" x14ac:dyDescent="0.25"/>
    <row r="26" spans="2:11" x14ac:dyDescent="0.25">
      <c r="B26" s="8" t="s">
        <v>86</v>
      </c>
      <c r="C26" s="3">
        <v>3.0000000000000001E-3</v>
      </c>
      <c r="E26" s="40" t="s">
        <v>73</v>
      </c>
    </row>
    <row r="27" spans="2:11" x14ac:dyDescent="0.25">
      <c r="B27" s="8" t="s">
        <v>87</v>
      </c>
      <c r="C27" s="3">
        <v>48</v>
      </c>
      <c r="E27" s="43">
        <f>1-(1-C26)^C27</f>
        <v>0.1342996383225229</v>
      </c>
    </row>
  </sheetData>
  <mergeCells count="7">
    <mergeCell ref="B2:E2"/>
    <mergeCell ref="B10:E10"/>
    <mergeCell ref="B17:E17"/>
    <mergeCell ref="B24:E24"/>
    <mergeCell ref="H2:K2"/>
    <mergeCell ref="H10:K10"/>
    <mergeCell ref="H17:K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EBE2C-9FF5-4233-855B-805C35142477}">
  <sheetPr codeName="Sheet9"/>
  <dimension ref="A1:D9"/>
  <sheetViews>
    <sheetView showGridLines="0" zoomScale="130" zoomScaleNormal="130" workbookViewId="0">
      <selection activeCell="B6" sqref="B6"/>
    </sheetView>
  </sheetViews>
  <sheetFormatPr defaultRowHeight="15" x14ac:dyDescent="0.25"/>
  <cols>
    <col min="1" max="4" width="9.42578125" style="2" customWidth="1"/>
  </cols>
  <sheetData>
    <row r="1" spans="1:3" s="7" customFormat="1" ht="20.25" thickBot="1" x14ac:dyDescent="0.35">
      <c r="A1" s="44" t="s">
        <v>88</v>
      </c>
      <c r="B1" s="44"/>
      <c r="C1" s="44"/>
    </row>
    <row r="2" spans="1:3" ht="15.75" thickTop="1" x14ac:dyDescent="0.25"/>
    <row r="3" spans="1:3" x14ac:dyDescent="0.25">
      <c r="B3" s="45" t="s">
        <v>89</v>
      </c>
      <c r="C3" s="45" t="s">
        <v>90</v>
      </c>
    </row>
    <row r="4" spans="1:3" x14ac:dyDescent="0.25">
      <c r="A4" s="45" t="s">
        <v>91</v>
      </c>
      <c r="B4" s="3">
        <v>96</v>
      </c>
      <c r="C4" s="3">
        <v>400</v>
      </c>
    </row>
    <row r="5" spans="1:3" ht="15.75" thickBot="1" x14ac:dyDescent="0.3">
      <c r="A5" s="45"/>
    </row>
    <row r="6" spans="1:3" ht="16.5" thickTop="1" thickBot="1" x14ac:dyDescent="0.3">
      <c r="A6" s="45" t="s">
        <v>92</v>
      </c>
      <c r="B6" s="3">
        <v>100</v>
      </c>
      <c r="C6" s="46">
        <f>C4+(C8-C4)*((B6-B4)/(B8-B4))</f>
        <v>412.5</v>
      </c>
    </row>
    <row r="7" spans="1:3" ht="15.75" thickTop="1" x14ac:dyDescent="0.25">
      <c r="A7" s="45"/>
    </row>
    <row r="8" spans="1:3" x14ac:dyDescent="0.25">
      <c r="A8" s="45" t="s">
        <v>93</v>
      </c>
      <c r="B8" s="3">
        <v>104</v>
      </c>
      <c r="C8" s="3">
        <v>425</v>
      </c>
    </row>
    <row r="9" spans="1:3" x14ac:dyDescent="0.25">
      <c r="A9" s="45"/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FEDA-72D0-4043-9E9C-861DCECEA96F}">
  <dimension ref="A1:I54"/>
  <sheetViews>
    <sheetView workbookViewId="0">
      <pane ySplit="24" topLeftCell="A28" activePane="bottomLeft" state="frozen"/>
      <selection pane="bottomLeft" activeCell="D28" sqref="D28"/>
    </sheetView>
  </sheetViews>
  <sheetFormatPr defaultColWidth="19.5703125" defaultRowHeight="15" x14ac:dyDescent="0.25"/>
  <cols>
    <col min="1" max="8" width="19.5703125" style="12"/>
    <col min="9" max="16384" width="19.5703125" style="9"/>
  </cols>
  <sheetData>
    <row r="1" spans="1:7" x14ac:dyDescent="0.25">
      <c r="A1" s="9"/>
      <c r="B1" s="9"/>
      <c r="C1" s="9"/>
      <c r="D1" s="9"/>
      <c r="E1" s="9"/>
      <c r="F1" s="9"/>
      <c r="G1" s="9"/>
    </row>
    <row r="2" spans="1:7" x14ac:dyDescent="0.25">
      <c r="A2" s="9"/>
      <c r="B2" s="9"/>
      <c r="C2" s="9"/>
      <c r="D2" s="9"/>
      <c r="E2" s="9"/>
      <c r="F2" s="9"/>
      <c r="G2" s="9"/>
    </row>
    <row r="3" spans="1:7" x14ac:dyDescent="0.25">
      <c r="A3" s="9"/>
      <c r="B3" s="9"/>
      <c r="C3" s="9"/>
      <c r="D3" s="9"/>
      <c r="E3" s="9"/>
      <c r="F3" s="9"/>
      <c r="G3" s="9"/>
    </row>
    <row r="4" spans="1:7" x14ac:dyDescent="0.25">
      <c r="A4" s="9"/>
      <c r="B4" s="9"/>
      <c r="C4" s="9"/>
      <c r="D4" s="9"/>
      <c r="E4" s="9"/>
      <c r="F4" s="9"/>
      <c r="G4" s="9"/>
    </row>
    <row r="5" spans="1:7" x14ac:dyDescent="0.25">
      <c r="A5" s="9"/>
      <c r="B5" s="9"/>
      <c r="C5" s="9"/>
      <c r="D5" s="9"/>
      <c r="E5" s="9"/>
      <c r="F5" s="9"/>
      <c r="G5" s="9"/>
    </row>
    <row r="6" spans="1:7" x14ac:dyDescent="0.25">
      <c r="A6" s="9"/>
      <c r="B6" s="9"/>
      <c r="C6" s="9"/>
      <c r="D6" s="9"/>
      <c r="E6" s="9"/>
      <c r="F6" s="9"/>
      <c r="G6" s="9"/>
    </row>
    <row r="7" spans="1:7" x14ac:dyDescent="0.25">
      <c r="A7" s="9"/>
      <c r="B7" s="9"/>
      <c r="C7" s="9"/>
      <c r="D7" s="9"/>
      <c r="E7" s="9"/>
      <c r="F7" s="9"/>
      <c r="G7" s="9"/>
    </row>
    <row r="8" spans="1:7" x14ac:dyDescent="0.25">
      <c r="A8" s="9"/>
      <c r="B8" s="9"/>
      <c r="C8" s="9"/>
      <c r="D8" s="9"/>
      <c r="E8" s="9"/>
      <c r="F8" s="9"/>
      <c r="G8" s="9"/>
    </row>
    <row r="9" spans="1:7" x14ac:dyDescent="0.25">
      <c r="A9" s="9"/>
      <c r="B9" s="9"/>
      <c r="C9" s="9"/>
      <c r="D9" s="9"/>
      <c r="E9" s="9"/>
      <c r="F9" s="9"/>
      <c r="G9" s="9"/>
    </row>
    <row r="10" spans="1:7" x14ac:dyDescent="0.25">
      <c r="A10" s="9"/>
      <c r="B10" s="9"/>
      <c r="C10" s="9"/>
      <c r="D10" s="9"/>
      <c r="E10" s="9"/>
      <c r="F10" s="9"/>
      <c r="G10" s="9"/>
    </row>
    <row r="11" spans="1:7" x14ac:dyDescent="0.25">
      <c r="A11" s="9"/>
      <c r="B11" s="9"/>
      <c r="C11" s="9"/>
      <c r="D11" s="9"/>
      <c r="E11" s="9"/>
      <c r="F11" s="9"/>
      <c r="G11" s="9"/>
    </row>
    <row r="12" spans="1:7" x14ac:dyDescent="0.25">
      <c r="A12" s="9"/>
      <c r="B12" s="9"/>
      <c r="C12" s="9"/>
      <c r="D12" s="9"/>
      <c r="E12" s="9"/>
      <c r="F12" s="9"/>
      <c r="G12" s="9"/>
    </row>
    <row r="13" spans="1:7" x14ac:dyDescent="0.25">
      <c r="A13" s="9"/>
      <c r="B13" s="9"/>
      <c r="C13" s="9"/>
      <c r="D13" s="9"/>
      <c r="E13" s="9"/>
      <c r="F13" s="9"/>
      <c r="G13" s="9"/>
    </row>
    <row r="14" spans="1:7" x14ac:dyDescent="0.25">
      <c r="A14" s="9"/>
      <c r="B14" s="9"/>
      <c r="C14" s="9"/>
      <c r="D14" s="9"/>
      <c r="E14" s="9"/>
      <c r="F14" s="9"/>
      <c r="G14" s="9"/>
    </row>
    <row r="15" spans="1:7" x14ac:dyDescent="0.25">
      <c r="A15" s="9"/>
      <c r="B15" s="9"/>
      <c r="C15" s="9"/>
      <c r="D15" s="9"/>
      <c r="E15" s="9"/>
      <c r="F15" s="9"/>
      <c r="G15" s="9"/>
    </row>
    <row r="16" spans="1:7" x14ac:dyDescent="0.25">
      <c r="A16" s="9"/>
      <c r="B16" s="9"/>
      <c r="C16" s="9"/>
      <c r="D16" s="9"/>
      <c r="E16" s="9"/>
      <c r="F16" s="9"/>
      <c r="G16" s="9"/>
    </row>
    <row r="17" spans="1:9" x14ac:dyDescent="0.25">
      <c r="A17" s="9"/>
      <c r="B17" s="9"/>
      <c r="C17" s="9"/>
      <c r="D17" s="9"/>
      <c r="E17" s="9"/>
      <c r="F17" s="9"/>
      <c r="G17" s="9"/>
    </row>
    <row r="18" spans="1:9" x14ac:dyDescent="0.25">
      <c r="A18" s="9"/>
      <c r="B18" s="9"/>
      <c r="C18" s="9"/>
      <c r="D18" s="9"/>
      <c r="E18" s="9"/>
      <c r="F18" s="9"/>
      <c r="G18" s="9"/>
    </row>
    <row r="19" spans="1:9" x14ac:dyDescent="0.25">
      <c r="A19" s="9"/>
      <c r="B19" s="9"/>
      <c r="C19" s="9"/>
      <c r="D19" s="9"/>
      <c r="E19" s="9"/>
      <c r="F19" s="9"/>
      <c r="G19" s="9"/>
    </row>
    <row r="20" spans="1:9" x14ac:dyDescent="0.25">
      <c r="A20" s="9"/>
      <c r="B20" s="9"/>
      <c r="C20" s="9"/>
      <c r="D20" s="9"/>
      <c r="E20" s="9"/>
      <c r="F20" s="9"/>
      <c r="G20" s="9"/>
    </row>
    <row r="21" spans="1:9" x14ac:dyDescent="0.25">
      <c r="A21" s="9"/>
      <c r="B21" s="9"/>
      <c r="C21" s="9"/>
      <c r="D21" s="9"/>
      <c r="E21" s="9"/>
      <c r="F21" s="9"/>
      <c r="G21" s="9"/>
    </row>
    <row r="22" spans="1:9" x14ac:dyDescent="0.25">
      <c r="A22" s="9"/>
      <c r="B22" s="9"/>
      <c r="C22" s="9"/>
      <c r="D22" s="9"/>
      <c r="E22" s="9"/>
      <c r="F22" s="9"/>
      <c r="G22" s="9"/>
    </row>
    <row r="23" spans="1:9" ht="50.25" customHeight="1" x14ac:dyDescent="0.25">
      <c r="A23" s="65" t="s">
        <v>33</v>
      </c>
      <c r="B23" s="65"/>
      <c r="C23" s="65"/>
      <c r="D23" s="65"/>
      <c r="E23" s="65"/>
      <c r="F23" s="65"/>
      <c r="G23" s="65"/>
      <c r="H23" s="65"/>
      <c r="I23" s="65"/>
    </row>
    <row r="24" spans="1:9" s="14" customFormat="1" ht="27" customHeight="1" thickBot="1" x14ac:dyDescent="0.3">
      <c r="A24" s="13" t="s">
        <v>34</v>
      </c>
      <c r="B24" s="13" t="s">
        <v>35</v>
      </c>
      <c r="C24" s="13" t="s">
        <v>36</v>
      </c>
      <c r="D24" s="13" t="s">
        <v>37</v>
      </c>
      <c r="E24" s="13" t="s">
        <v>38</v>
      </c>
      <c r="F24" s="13" t="s">
        <v>39</v>
      </c>
      <c r="G24" s="13" t="s">
        <v>40</v>
      </c>
      <c r="H24" s="13" t="s">
        <v>41</v>
      </c>
      <c r="I24" s="14" t="s">
        <v>42</v>
      </c>
    </row>
    <row r="25" spans="1:9" x14ac:dyDescent="0.25">
      <c r="A25" s="12">
        <v>1</v>
      </c>
      <c r="B25" s="12">
        <v>12</v>
      </c>
      <c r="C25" s="12">
        <v>9.5</v>
      </c>
      <c r="D25" s="12">
        <v>0.25</v>
      </c>
      <c r="E25" s="12">
        <v>12.9</v>
      </c>
      <c r="F25" s="12">
        <f>C25-B25</f>
        <v>-2.5</v>
      </c>
      <c r="G25" s="12">
        <f>C25/B25</f>
        <v>0.79166666666666663</v>
      </c>
      <c r="H25" s="12">
        <v>129</v>
      </c>
      <c r="I25" s="9">
        <v>300</v>
      </c>
    </row>
    <row r="26" spans="1:9" x14ac:dyDescent="0.25">
      <c r="A26" s="12">
        <v>2</v>
      </c>
      <c r="B26" s="12">
        <v>12</v>
      </c>
      <c r="C26" s="12">
        <v>10</v>
      </c>
      <c r="D26" s="12">
        <v>0.25</v>
      </c>
      <c r="E26" s="12">
        <v>12.9</v>
      </c>
      <c r="F26" s="12">
        <f t="shared" ref="F26:F54" si="0">C26-B26</f>
        <v>-2</v>
      </c>
      <c r="G26" s="12">
        <f t="shared" ref="G26:G54" si="1">C26/B26</f>
        <v>0.83333333333333337</v>
      </c>
      <c r="H26" s="12">
        <v>129</v>
      </c>
      <c r="I26" s="9">
        <v>300</v>
      </c>
    </row>
    <row r="27" spans="1:9" x14ac:dyDescent="0.25">
      <c r="A27" s="12">
        <v>3</v>
      </c>
      <c r="B27" s="12">
        <v>12</v>
      </c>
      <c r="C27" s="12">
        <v>9.5</v>
      </c>
      <c r="D27" s="12">
        <v>0.25</v>
      </c>
      <c r="E27" s="12">
        <v>12.9</v>
      </c>
      <c r="F27" s="12">
        <f t="shared" si="0"/>
        <v>-2.5</v>
      </c>
      <c r="G27" s="12">
        <f t="shared" si="1"/>
        <v>0.79166666666666663</v>
      </c>
      <c r="H27" s="12">
        <v>129</v>
      </c>
      <c r="I27" s="9">
        <v>300</v>
      </c>
    </row>
    <row r="28" spans="1:9" x14ac:dyDescent="0.25">
      <c r="A28" s="12">
        <v>4</v>
      </c>
      <c r="B28" s="12">
        <v>12</v>
      </c>
      <c r="C28" s="12">
        <v>9.5</v>
      </c>
      <c r="D28" s="12">
        <v>0.25</v>
      </c>
      <c r="E28" s="12">
        <v>12.9</v>
      </c>
      <c r="F28" s="12">
        <f t="shared" si="0"/>
        <v>-2.5</v>
      </c>
      <c r="G28" s="12">
        <f t="shared" si="1"/>
        <v>0.79166666666666663</v>
      </c>
      <c r="H28" s="12">
        <v>129</v>
      </c>
      <c r="I28" s="9">
        <v>300</v>
      </c>
    </row>
    <row r="29" spans="1:9" x14ac:dyDescent="0.25">
      <c r="A29" s="12">
        <v>5</v>
      </c>
      <c r="B29" s="12">
        <v>48</v>
      </c>
      <c r="C29" s="12">
        <v>42.5</v>
      </c>
      <c r="D29" s="12">
        <v>0.25</v>
      </c>
      <c r="E29" s="12">
        <v>12.9</v>
      </c>
      <c r="F29" s="12">
        <f t="shared" si="0"/>
        <v>-5.5</v>
      </c>
      <c r="G29" s="12">
        <f t="shared" si="1"/>
        <v>0.88541666666666663</v>
      </c>
      <c r="H29" s="12">
        <v>129</v>
      </c>
      <c r="I29" s="9">
        <v>300</v>
      </c>
    </row>
    <row r="30" spans="1:9" x14ac:dyDescent="0.25">
      <c r="A30" s="12">
        <v>6</v>
      </c>
      <c r="B30" s="12">
        <v>48</v>
      </c>
      <c r="C30" s="12">
        <v>45</v>
      </c>
      <c r="D30" s="12">
        <v>0.25</v>
      </c>
      <c r="E30" s="12">
        <v>12.9</v>
      </c>
      <c r="F30" s="12">
        <f t="shared" si="0"/>
        <v>-3</v>
      </c>
      <c r="G30" s="12">
        <f t="shared" si="1"/>
        <v>0.9375</v>
      </c>
      <c r="H30" s="12">
        <v>129</v>
      </c>
      <c r="I30" s="9">
        <v>300</v>
      </c>
    </row>
    <row r="31" spans="1:9" x14ac:dyDescent="0.25">
      <c r="A31" s="12">
        <v>7</v>
      </c>
      <c r="B31" s="12">
        <v>48</v>
      </c>
      <c r="C31" s="12">
        <v>44.5</v>
      </c>
      <c r="D31" s="12">
        <v>0.25</v>
      </c>
      <c r="E31" s="12">
        <v>12.9</v>
      </c>
      <c r="F31" s="12">
        <f t="shared" si="0"/>
        <v>-3.5</v>
      </c>
      <c r="G31" s="12">
        <f t="shared" si="1"/>
        <v>0.92708333333333337</v>
      </c>
      <c r="H31" s="12">
        <v>129</v>
      </c>
      <c r="I31" s="9">
        <v>300</v>
      </c>
    </row>
    <row r="32" spans="1:9" x14ac:dyDescent="0.25">
      <c r="A32" s="12">
        <v>8</v>
      </c>
      <c r="B32" s="12">
        <v>48</v>
      </c>
      <c r="C32" s="12">
        <v>41</v>
      </c>
      <c r="D32" s="12">
        <v>0.25</v>
      </c>
      <c r="E32" s="12">
        <v>12.9</v>
      </c>
      <c r="F32" s="12">
        <f t="shared" si="0"/>
        <v>-7</v>
      </c>
      <c r="G32" s="12">
        <f t="shared" si="1"/>
        <v>0.85416666666666663</v>
      </c>
      <c r="H32" s="12">
        <v>129</v>
      </c>
      <c r="I32" s="9">
        <v>300</v>
      </c>
    </row>
    <row r="33" spans="1:9" x14ac:dyDescent="0.25">
      <c r="A33" s="12">
        <v>9</v>
      </c>
      <c r="B33" s="12">
        <v>48</v>
      </c>
      <c r="C33" s="12">
        <v>44.5</v>
      </c>
      <c r="D33" s="12">
        <v>0.25</v>
      </c>
      <c r="E33" s="12">
        <v>12.8</v>
      </c>
      <c r="F33" s="12">
        <f t="shared" si="0"/>
        <v>-3.5</v>
      </c>
      <c r="G33" s="12">
        <f t="shared" si="1"/>
        <v>0.92708333333333337</v>
      </c>
      <c r="H33" s="12">
        <v>129</v>
      </c>
      <c r="I33" s="9">
        <v>300</v>
      </c>
    </row>
    <row r="34" spans="1:9" x14ac:dyDescent="0.25">
      <c r="A34" s="12">
        <v>10</v>
      </c>
      <c r="B34" s="12">
        <v>48</v>
      </c>
      <c r="C34" s="12">
        <v>44</v>
      </c>
      <c r="D34" s="12">
        <v>0.25</v>
      </c>
      <c r="E34" s="12">
        <v>12.8</v>
      </c>
      <c r="F34" s="12">
        <f t="shared" si="0"/>
        <v>-4</v>
      </c>
      <c r="G34" s="12">
        <f t="shared" si="1"/>
        <v>0.91666666666666663</v>
      </c>
      <c r="H34" s="12">
        <v>129</v>
      </c>
      <c r="I34" s="9">
        <v>300</v>
      </c>
    </row>
    <row r="35" spans="1:9" x14ac:dyDescent="0.25">
      <c r="A35" s="12">
        <v>11</v>
      </c>
      <c r="B35" s="12">
        <v>12</v>
      </c>
      <c r="C35" s="12">
        <v>16</v>
      </c>
      <c r="D35" s="12">
        <v>0.5</v>
      </c>
      <c r="E35" s="12">
        <v>12.8</v>
      </c>
      <c r="F35" s="12">
        <f t="shared" si="0"/>
        <v>4</v>
      </c>
      <c r="G35" s="12">
        <f t="shared" si="1"/>
        <v>1.3333333333333333</v>
      </c>
      <c r="H35" s="12">
        <v>129</v>
      </c>
      <c r="I35" s="9">
        <v>300</v>
      </c>
    </row>
    <row r="36" spans="1:9" x14ac:dyDescent="0.25">
      <c r="A36" s="12">
        <v>12</v>
      </c>
      <c r="B36" s="12">
        <v>12</v>
      </c>
      <c r="C36" s="12">
        <v>13</v>
      </c>
      <c r="D36" s="12">
        <v>0.5</v>
      </c>
      <c r="E36" s="12">
        <v>12.8</v>
      </c>
      <c r="F36" s="12">
        <f t="shared" si="0"/>
        <v>1</v>
      </c>
      <c r="G36" s="12">
        <f t="shared" si="1"/>
        <v>1.0833333333333333</v>
      </c>
      <c r="H36" s="12">
        <v>129</v>
      </c>
      <c r="I36" s="9">
        <v>300</v>
      </c>
    </row>
    <row r="37" spans="1:9" x14ac:dyDescent="0.25">
      <c r="A37" s="12">
        <v>13</v>
      </c>
      <c r="B37" s="12">
        <v>12</v>
      </c>
      <c r="C37" s="12">
        <v>13</v>
      </c>
      <c r="D37" s="12">
        <v>0.5</v>
      </c>
      <c r="E37" s="12">
        <v>12.8</v>
      </c>
      <c r="F37" s="12">
        <f t="shared" si="0"/>
        <v>1</v>
      </c>
      <c r="G37" s="12">
        <f t="shared" si="1"/>
        <v>1.0833333333333333</v>
      </c>
      <c r="H37" s="12">
        <v>129</v>
      </c>
      <c r="I37" s="9">
        <v>300</v>
      </c>
    </row>
    <row r="38" spans="1:9" x14ac:dyDescent="0.25">
      <c r="A38" s="12">
        <v>14</v>
      </c>
      <c r="B38" s="12">
        <v>12</v>
      </c>
      <c r="C38" s="12">
        <v>11.5</v>
      </c>
      <c r="D38" s="12">
        <v>0.5</v>
      </c>
      <c r="E38" s="12">
        <v>12.8</v>
      </c>
      <c r="F38" s="12">
        <f t="shared" si="0"/>
        <v>-0.5</v>
      </c>
      <c r="G38" s="12">
        <f t="shared" si="1"/>
        <v>0.95833333333333337</v>
      </c>
      <c r="H38" s="12">
        <v>129</v>
      </c>
      <c r="I38" s="9">
        <v>300</v>
      </c>
    </row>
    <row r="39" spans="1:9" x14ac:dyDescent="0.25">
      <c r="A39" s="12">
        <v>15</v>
      </c>
      <c r="B39" s="12">
        <v>48</v>
      </c>
      <c r="C39" s="12">
        <v>54.5</v>
      </c>
      <c r="D39" s="12">
        <v>0.5</v>
      </c>
      <c r="E39" s="12">
        <v>12.8</v>
      </c>
      <c r="F39" s="12">
        <f t="shared" si="0"/>
        <v>6.5</v>
      </c>
      <c r="G39" s="12">
        <f t="shared" si="1"/>
        <v>1.1354166666666667</v>
      </c>
      <c r="H39" s="12">
        <v>129</v>
      </c>
      <c r="I39" s="9">
        <v>300</v>
      </c>
    </row>
    <row r="40" spans="1:9" x14ac:dyDescent="0.25">
      <c r="A40" s="12">
        <v>16</v>
      </c>
      <c r="B40" s="12">
        <v>48</v>
      </c>
      <c r="C40" s="12">
        <v>53.5</v>
      </c>
      <c r="D40" s="12">
        <v>0.5</v>
      </c>
      <c r="E40" s="12">
        <v>12.8</v>
      </c>
      <c r="F40" s="12">
        <f t="shared" si="0"/>
        <v>5.5</v>
      </c>
      <c r="G40" s="12">
        <f t="shared" si="1"/>
        <v>1.1145833333333333</v>
      </c>
      <c r="H40" s="12">
        <v>129</v>
      </c>
      <c r="I40" s="9">
        <v>300</v>
      </c>
    </row>
    <row r="41" spans="1:9" x14ac:dyDescent="0.25">
      <c r="A41" s="12">
        <v>17</v>
      </c>
      <c r="B41" s="12">
        <v>48</v>
      </c>
      <c r="C41" s="12">
        <v>54</v>
      </c>
      <c r="D41" s="12">
        <v>0.5</v>
      </c>
      <c r="E41" s="12">
        <v>12.8</v>
      </c>
      <c r="F41" s="12">
        <f t="shared" si="0"/>
        <v>6</v>
      </c>
      <c r="G41" s="12">
        <f t="shared" si="1"/>
        <v>1.125</v>
      </c>
      <c r="H41" s="12">
        <v>129</v>
      </c>
      <c r="I41" s="9">
        <v>300</v>
      </c>
    </row>
    <row r="42" spans="1:9" x14ac:dyDescent="0.25">
      <c r="A42" s="12">
        <v>18</v>
      </c>
      <c r="B42" s="12">
        <v>48</v>
      </c>
      <c r="C42" s="12">
        <v>53</v>
      </c>
      <c r="D42" s="12">
        <v>0.5</v>
      </c>
      <c r="E42" s="12">
        <v>12.8</v>
      </c>
      <c r="F42" s="12">
        <f>C42-B42</f>
        <v>5</v>
      </c>
      <c r="G42" s="12">
        <f t="shared" si="1"/>
        <v>1.1041666666666667</v>
      </c>
      <c r="H42" s="12">
        <v>129</v>
      </c>
      <c r="I42" s="9">
        <v>300</v>
      </c>
    </row>
    <row r="43" spans="1:9" x14ac:dyDescent="0.25">
      <c r="A43" s="12">
        <v>19</v>
      </c>
      <c r="B43" s="12">
        <v>12</v>
      </c>
      <c r="C43" s="12">
        <v>13</v>
      </c>
      <c r="D43" s="12">
        <v>1</v>
      </c>
      <c r="E43" s="12">
        <v>12.7</v>
      </c>
      <c r="F43" s="12">
        <f t="shared" si="0"/>
        <v>1</v>
      </c>
      <c r="G43" s="12">
        <f t="shared" si="1"/>
        <v>1.0833333333333333</v>
      </c>
      <c r="H43" s="12">
        <v>129</v>
      </c>
      <c r="I43" s="9">
        <v>300</v>
      </c>
    </row>
    <row r="44" spans="1:9" x14ac:dyDescent="0.25">
      <c r="A44" s="12">
        <v>20</v>
      </c>
      <c r="B44" s="12">
        <v>12</v>
      </c>
      <c r="C44" s="12">
        <v>13</v>
      </c>
      <c r="D44" s="12">
        <v>1</v>
      </c>
      <c r="E44" s="12">
        <v>12.7</v>
      </c>
      <c r="F44" s="12">
        <f t="shared" si="0"/>
        <v>1</v>
      </c>
      <c r="G44" s="12">
        <f t="shared" si="1"/>
        <v>1.0833333333333333</v>
      </c>
      <c r="H44" s="12">
        <v>129</v>
      </c>
      <c r="I44" s="9">
        <v>300</v>
      </c>
    </row>
    <row r="45" spans="1:9" x14ac:dyDescent="0.25">
      <c r="A45" s="12">
        <v>21</v>
      </c>
      <c r="B45" s="12">
        <v>12</v>
      </c>
      <c r="C45" s="12">
        <v>12.5</v>
      </c>
      <c r="D45" s="12">
        <v>1</v>
      </c>
      <c r="E45" s="12">
        <v>12.7</v>
      </c>
      <c r="F45" s="12">
        <f t="shared" si="0"/>
        <v>0.5</v>
      </c>
      <c r="G45" s="12">
        <f t="shared" si="1"/>
        <v>1.0416666666666667</v>
      </c>
      <c r="H45" s="12">
        <v>129</v>
      </c>
      <c r="I45" s="9">
        <v>300</v>
      </c>
    </row>
    <row r="46" spans="1:9" x14ac:dyDescent="0.25">
      <c r="A46" s="12">
        <v>22</v>
      </c>
      <c r="B46" s="12">
        <v>12</v>
      </c>
      <c r="C46" s="12">
        <v>13</v>
      </c>
      <c r="D46" s="12">
        <v>1</v>
      </c>
      <c r="E46" s="12">
        <v>12.7</v>
      </c>
      <c r="F46" s="12">
        <f t="shared" si="0"/>
        <v>1</v>
      </c>
      <c r="G46" s="12">
        <f t="shared" si="1"/>
        <v>1.0833333333333333</v>
      </c>
      <c r="H46" s="12">
        <v>129</v>
      </c>
      <c r="I46" s="9">
        <v>300</v>
      </c>
    </row>
    <row r="47" spans="1:9" x14ac:dyDescent="0.25">
      <c r="A47" s="12">
        <v>23</v>
      </c>
      <c r="B47" s="12">
        <v>48</v>
      </c>
      <c r="C47" s="12">
        <v>50</v>
      </c>
      <c r="D47" s="12">
        <v>1</v>
      </c>
      <c r="E47" s="12">
        <v>12.7</v>
      </c>
      <c r="F47" s="12">
        <f t="shared" si="0"/>
        <v>2</v>
      </c>
      <c r="G47" s="12">
        <f t="shared" si="1"/>
        <v>1.0416666666666667</v>
      </c>
      <c r="H47" s="12">
        <v>129</v>
      </c>
      <c r="I47" s="9">
        <v>300</v>
      </c>
    </row>
    <row r="48" spans="1:9" x14ac:dyDescent="0.25">
      <c r="A48" s="12">
        <v>24</v>
      </c>
      <c r="B48" s="12">
        <v>48</v>
      </c>
      <c r="C48" s="12">
        <v>53.5</v>
      </c>
      <c r="D48" s="12">
        <v>1</v>
      </c>
      <c r="E48" s="12">
        <v>12.7</v>
      </c>
      <c r="F48" s="12">
        <f t="shared" si="0"/>
        <v>5.5</v>
      </c>
      <c r="G48" s="12">
        <f t="shared" si="1"/>
        <v>1.1145833333333333</v>
      </c>
      <c r="H48" s="12">
        <v>129</v>
      </c>
      <c r="I48" s="9">
        <v>300</v>
      </c>
    </row>
    <row r="49" spans="1:9" x14ac:dyDescent="0.25">
      <c r="A49" s="12">
        <v>25</v>
      </c>
      <c r="B49" s="12">
        <v>48</v>
      </c>
      <c r="C49" s="12">
        <v>54</v>
      </c>
      <c r="D49" s="12">
        <v>1</v>
      </c>
      <c r="E49" s="12">
        <v>12.7</v>
      </c>
      <c r="F49" s="12">
        <f t="shared" si="0"/>
        <v>6</v>
      </c>
      <c r="G49" s="12">
        <f t="shared" si="1"/>
        <v>1.125</v>
      </c>
      <c r="H49" s="12">
        <v>129</v>
      </c>
      <c r="I49" s="9">
        <v>300</v>
      </c>
    </row>
    <row r="50" spans="1:9" x14ac:dyDescent="0.25">
      <c r="A50" s="12">
        <v>26</v>
      </c>
      <c r="B50" s="12">
        <v>48</v>
      </c>
      <c r="C50" s="12">
        <v>50</v>
      </c>
      <c r="D50" s="12">
        <v>1</v>
      </c>
      <c r="E50" s="12">
        <v>12.7</v>
      </c>
      <c r="F50" s="12">
        <f t="shared" si="0"/>
        <v>2</v>
      </c>
      <c r="G50" s="12">
        <f t="shared" si="1"/>
        <v>1.0416666666666667</v>
      </c>
      <c r="H50" s="12">
        <v>129</v>
      </c>
      <c r="I50" s="9">
        <v>300</v>
      </c>
    </row>
    <row r="51" spans="1:9" x14ac:dyDescent="0.25">
      <c r="A51" s="12">
        <v>27</v>
      </c>
      <c r="B51" s="12">
        <v>120</v>
      </c>
      <c r="C51" s="12">
        <v>139</v>
      </c>
      <c r="D51" s="12">
        <v>1</v>
      </c>
      <c r="E51" s="12">
        <v>12.7</v>
      </c>
      <c r="F51" s="12">
        <f t="shared" si="0"/>
        <v>19</v>
      </c>
      <c r="G51" s="12">
        <f t="shared" si="1"/>
        <v>1.1583333333333334</v>
      </c>
      <c r="H51" s="12">
        <v>129</v>
      </c>
      <c r="I51" s="9">
        <v>150</v>
      </c>
    </row>
    <row r="52" spans="1:9" x14ac:dyDescent="0.25">
      <c r="A52" s="12">
        <v>28</v>
      </c>
      <c r="B52" s="12">
        <v>120</v>
      </c>
      <c r="C52" s="12">
        <v>142</v>
      </c>
      <c r="D52" s="12">
        <v>1</v>
      </c>
      <c r="E52" s="12">
        <v>12.6</v>
      </c>
      <c r="F52" s="12">
        <f t="shared" si="0"/>
        <v>22</v>
      </c>
      <c r="G52" s="12">
        <f t="shared" si="1"/>
        <v>1.1833333333333333</v>
      </c>
      <c r="H52" s="12">
        <v>129</v>
      </c>
      <c r="I52" s="9">
        <v>150</v>
      </c>
    </row>
    <row r="53" spans="1:9" x14ac:dyDescent="0.25">
      <c r="A53" s="12">
        <v>28</v>
      </c>
      <c r="B53" s="12">
        <v>120</v>
      </c>
      <c r="C53" s="12">
        <v>131</v>
      </c>
      <c r="D53" s="12">
        <v>1</v>
      </c>
      <c r="E53" s="12">
        <v>12.6</v>
      </c>
      <c r="F53" s="12">
        <f t="shared" si="0"/>
        <v>11</v>
      </c>
      <c r="G53" s="12">
        <f t="shared" si="1"/>
        <v>1.0916666666666666</v>
      </c>
      <c r="H53" s="12">
        <v>129</v>
      </c>
      <c r="I53" s="9">
        <v>150</v>
      </c>
    </row>
    <row r="54" spans="1:9" x14ac:dyDescent="0.25">
      <c r="A54" s="12">
        <v>28</v>
      </c>
      <c r="B54" s="12">
        <v>120</v>
      </c>
      <c r="C54" s="12">
        <v>141</v>
      </c>
      <c r="D54" s="12">
        <v>1</v>
      </c>
      <c r="E54" s="12">
        <v>12.6</v>
      </c>
      <c r="F54" s="12">
        <f t="shared" si="0"/>
        <v>21</v>
      </c>
      <c r="G54" s="12">
        <f t="shared" si="1"/>
        <v>1.175</v>
      </c>
      <c r="H54" s="12">
        <v>129</v>
      </c>
      <c r="I54" s="9">
        <v>150</v>
      </c>
    </row>
  </sheetData>
  <autoFilter ref="A24:J55" xr:uid="{9C0DE983-566A-4EF0-83E7-F76CA22DD364}"/>
  <mergeCells count="1">
    <mergeCell ref="A23:I23"/>
  </mergeCells>
  <conditionalFormatting sqref="E25:E54">
    <cfRule type="colorScale" priority="1">
      <colorScale>
        <cfvo type="num" val="12"/>
        <cfvo type="num" val="13"/>
        <color theme="4" tint="0.39997558519241921"/>
        <color theme="0"/>
      </colorScale>
    </cfRule>
  </conditionalFormatting>
  <conditionalFormatting sqref="F25:F54">
    <cfRule type="colorScale" priority="3">
      <colorScale>
        <cfvo type="min"/>
        <cfvo type="num" val="0"/>
        <cfvo type="max"/>
        <color theme="4" tint="0.39997558519241921"/>
        <color theme="0"/>
        <color theme="4" tint="0.39997558519241921"/>
      </colorScale>
    </cfRule>
  </conditionalFormatting>
  <conditionalFormatting sqref="G25:G54">
    <cfRule type="colorScale" priority="2">
      <colorScale>
        <cfvo type="min"/>
        <cfvo type="num" val="1"/>
        <cfvo type="max"/>
        <color theme="4" tint="0.39997558519241921"/>
        <color theme="0"/>
        <color theme="4" tint="0.39997558519241921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81BA4-B48C-4F99-8E80-1089CCB85B8F}">
  <dimension ref="A1:AC331"/>
  <sheetViews>
    <sheetView tabSelected="1" zoomScaleNormal="100" workbookViewId="0">
      <pane ySplit="17" topLeftCell="A77" activePane="bottomLeft" state="frozen"/>
      <selection pane="bottomLeft" activeCell="V79" sqref="V79"/>
    </sheetView>
  </sheetViews>
  <sheetFormatPr defaultColWidth="16.140625" defaultRowHeight="15" x14ac:dyDescent="0.25"/>
  <cols>
    <col min="1" max="1" width="8.7109375" style="15" customWidth="1"/>
    <col min="2" max="2" width="13.28515625" style="15" customWidth="1"/>
    <col min="3" max="3" width="8.140625" style="15" customWidth="1"/>
    <col min="4" max="4" width="10.28515625" style="15" customWidth="1"/>
    <col min="5" max="5" width="10.85546875" style="15" customWidth="1"/>
    <col min="6" max="6" width="10.85546875" style="15" hidden="1" customWidth="1"/>
    <col min="7" max="7" width="12" style="18" customWidth="1"/>
    <col min="8" max="8" width="14.28515625" style="15" customWidth="1"/>
    <col min="9" max="9" width="10" style="10" hidden="1" customWidth="1"/>
    <col min="10" max="10" width="5.7109375" style="10" customWidth="1"/>
    <col min="11" max="11" width="9.85546875" style="10" customWidth="1"/>
    <col min="12" max="19" width="6.5703125" style="10" customWidth="1"/>
    <col min="20" max="20" width="9.85546875" style="10" customWidth="1"/>
    <col min="21" max="28" width="6.5703125" style="10" customWidth="1"/>
    <col min="29" max="29" width="16.140625" style="10" customWidth="1"/>
    <col min="30" max="16384" width="16.140625" style="10"/>
  </cols>
  <sheetData>
    <row r="1" spans="1:29" ht="32.25" customHeight="1" x14ac:dyDescent="0.25">
      <c r="A1" s="47" t="s">
        <v>94</v>
      </c>
      <c r="B1" s="10"/>
      <c r="C1" s="10"/>
      <c r="D1" s="10"/>
      <c r="E1" s="10"/>
      <c r="F1" s="10"/>
      <c r="G1"/>
      <c r="K1" s="74" t="s">
        <v>95</v>
      </c>
      <c r="L1" s="68">
        <v>1</v>
      </c>
      <c r="M1" s="68">
        <v>2</v>
      </c>
      <c r="N1" s="68">
        <v>3</v>
      </c>
      <c r="O1" s="68">
        <v>4</v>
      </c>
      <c r="P1" s="68">
        <v>5</v>
      </c>
      <c r="Q1" s="68">
        <v>6</v>
      </c>
      <c r="R1" s="68">
        <v>7</v>
      </c>
      <c r="S1" s="68">
        <v>8</v>
      </c>
      <c r="T1" s="72" t="s">
        <v>96</v>
      </c>
      <c r="U1" s="70">
        <v>1</v>
      </c>
      <c r="V1" s="70">
        <v>2</v>
      </c>
      <c r="W1" s="70">
        <v>3</v>
      </c>
      <c r="X1" s="70">
        <v>4</v>
      </c>
      <c r="Y1" s="70">
        <v>5</v>
      </c>
      <c r="Z1" s="70">
        <v>6</v>
      </c>
      <c r="AA1" s="70">
        <v>7</v>
      </c>
      <c r="AB1" s="70">
        <v>8</v>
      </c>
      <c r="AC1" s="10" t="s">
        <v>144</v>
      </c>
    </row>
    <row r="2" spans="1:29" x14ac:dyDescent="0.25">
      <c r="A2" s="10"/>
      <c r="B2" s="10"/>
      <c r="C2" s="10"/>
      <c r="D2" s="10"/>
      <c r="E2" s="10"/>
      <c r="F2" s="10"/>
      <c r="G2"/>
      <c r="J2" s="10">
        <v>0.5</v>
      </c>
      <c r="K2" s="74">
        <f>AVERAGEIF($C:$C,$J2,$H:$H)</f>
        <v>98.709677419354833</v>
      </c>
      <c r="L2" s="69">
        <f>AVERAGEIFS($H:$H, $C:$C, $J2, $E:$E, L$1)</f>
        <v>100.25</v>
      </c>
      <c r="M2" s="69">
        <f>AVERAGEIFS($H:$H, $C:$C, $J2, $E:$E, M$1)</f>
        <v>101</v>
      </c>
      <c r="N2" s="69">
        <f t="shared" ref="N2:S2" si="0">AVERAGEIFS($H:$H, $C:$C, $J2, $E:$E, N$1)</f>
        <v>105.66666666666667</v>
      </c>
      <c r="O2" s="69">
        <f t="shared" si="0"/>
        <v>96.25</v>
      </c>
      <c r="P2" s="69">
        <f t="shared" si="0"/>
        <v>81.2</v>
      </c>
      <c r="Q2" s="69">
        <f t="shared" si="0"/>
        <v>117.75</v>
      </c>
      <c r="R2" s="69">
        <f t="shared" si="0"/>
        <v>87</v>
      </c>
      <c r="S2" s="69">
        <f t="shared" si="0"/>
        <v>107.25</v>
      </c>
      <c r="T2" s="73" cm="1">
        <f t="array" ref="T2">_xlfn.STDEV.S(_xlfn._xlws.FILTER($H:$H, $C:$C=$J2))</f>
        <v>17.139026709797129</v>
      </c>
      <c r="U2" s="71" cm="1">
        <f t="array" ref="U2">_xlfn.STDEV.S(_xlfn._xlws.FILTER($H:$H, ($C:$C=$J2) * ($E:$E=U$1)))</f>
        <v>10.436314802968846</v>
      </c>
      <c r="V2" s="71" cm="1">
        <f t="array" ref="V2">_xlfn.STDEV.S(_xlfn._xlws.FILTER($H:$H, ($C:$C=$J2) * ($E:$E=V$1)))</f>
        <v>11.789826122551595</v>
      </c>
      <c r="W2" s="71" cm="1">
        <f t="array" ref="W2">_xlfn.STDEV.S(_xlfn._xlws.FILTER($H:$H, ($C:$C=$J2) * ($E:$E=W$1)))</f>
        <v>5.1316014394468841</v>
      </c>
      <c r="X2" s="71" cm="1">
        <f t="array" ref="X2">_xlfn.STDEV.S(_xlfn._xlws.FILTER($H:$H, ($C:$C=$J2) * ($E:$E=X$1)))</f>
        <v>10.781929326423912</v>
      </c>
      <c r="Y2" s="71" cm="1">
        <f t="array" ref="Y2">_xlfn.STDEV.S(_xlfn._xlws.FILTER($H:$H, ($C:$C=$J2) * ($E:$E=Y$1)))</f>
        <v>20.179197209007121</v>
      </c>
      <c r="Z2" s="71" cm="1">
        <f t="array" ref="Z2">_xlfn.STDEV.S(_xlfn._xlws.FILTER($H:$H, ($C:$C=$J2) * ($E:$E=Z$1)))</f>
        <v>13.720422734012244</v>
      </c>
      <c r="AA2" s="71" cm="1">
        <f t="array" ref="AA2">_xlfn.STDEV.S(_xlfn._xlws.FILTER($H:$H, ($C:$C=$J2) * ($E:$E=AA$1)))</f>
        <v>20.73644135332772</v>
      </c>
      <c r="AB2" s="71" cm="1">
        <f t="array" ref="AB2">_xlfn.STDEV.S(_xlfn._xlws.FILTER($H:$H, ($C:$C=$J2) * ($E:$E=AB$1)))</f>
        <v>10.07885575516057</v>
      </c>
      <c r="AC2" s="10">
        <f>STDEV(L2:S2)</f>
        <v>11.561333167207534</v>
      </c>
    </row>
    <row r="3" spans="1:29" x14ac:dyDescent="0.25">
      <c r="A3" s="10"/>
      <c r="B3" s="10"/>
      <c r="C3" s="10"/>
      <c r="D3" s="10"/>
      <c r="E3" s="10"/>
      <c r="F3" s="10"/>
      <c r="G3"/>
      <c r="J3" s="10">
        <v>0.75</v>
      </c>
      <c r="K3" s="74">
        <f>AVERAGEIF($C:$C,$J3,$H:$H)</f>
        <v>99.741935483870961</v>
      </c>
      <c r="L3" s="69">
        <f t="shared" ref="L3:S4" si="1">AVERAGEIFS($H:$H, $C:$C, $J3, $E:$E, L$1)</f>
        <v>90.6</v>
      </c>
      <c r="M3" s="69">
        <f t="shared" si="1"/>
        <v>100.75</v>
      </c>
      <c r="N3" s="69">
        <f t="shared" si="1"/>
        <v>100.33333333333333</v>
      </c>
      <c r="O3" s="69">
        <f t="shared" si="1"/>
        <v>82</v>
      </c>
      <c r="P3" s="69">
        <f t="shared" si="1"/>
        <v>94.2</v>
      </c>
      <c r="Q3" s="69">
        <f t="shared" si="1"/>
        <v>110.66666666666667</v>
      </c>
      <c r="R3" s="69">
        <f t="shared" si="1"/>
        <v>110.6</v>
      </c>
      <c r="S3" s="69">
        <f t="shared" si="1"/>
        <v>103.75</v>
      </c>
      <c r="T3" s="73" cm="1">
        <f t="array" ref="T3">_xlfn.STDEV.S(_xlfn._xlws.FILTER($H:$H, $C:$C=$J3))</f>
        <v>12.556453166759804</v>
      </c>
      <c r="U3" s="71" cm="1">
        <f t="array" ref="U3">_xlfn.STDEV.S(_xlfn._xlws.FILTER($H:$H, ($C:$C=$J3) * ($E:$E=U$1)))</f>
        <v>10.16366075781753</v>
      </c>
      <c r="V3" s="71" cm="1">
        <f t="array" ref="V3">_xlfn.STDEV.S(_xlfn._xlws.FILTER($H:$H, ($C:$C=$J3) * ($E:$E=V$1)))</f>
        <v>6.7019897542943667</v>
      </c>
      <c r="W3" s="71" cm="1">
        <f t="array" ref="W3">_xlfn.STDEV.S(_xlfn._xlws.FILTER($H:$H, ($C:$C=$J3) * ($E:$E=W$1)))</f>
        <v>17.473789896108226</v>
      </c>
      <c r="X3" s="71" cm="1">
        <f t="array" ref="X3">_xlfn.STDEV.S(_xlfn._xlws.FILTER($H:$H, ($C:$C=$J3) * ($E:$E=X$1)))</f>
        <v>15.556349186104045</v>
      </c>
      <c r="Y3" s="71" cm="1">
        <f t="array" ref="Y3">_xlfn.STDEV.S(_xlfn._xlws.FILTER($H:$H, ($C:$C=$J3) * ($E:$E=Y$1)))</f>
        <v>10.305338422390601</v>
      </c>
      <c r="Z3" s="71" cm="1">
        <f t="array" ref="Z3">_xlfn.STDEV.S(_xlfn._xlws.FILTER($H:$H, ($C:$C=$J3) * ($E:$E=Z$1)))</f>
        <v>7.2341781380702361</v>
      </c>
      <c r="AA3" s="71" cm="1">
        <f t="array" ref="AA3">_xlfn.STDEV.S(_xlfn._xlws.FILTER($H:$H, ($C:$C=$J3) * ($E:$E=AA$1)))</f>
        <v>6.4265076052238514</v>
      </c>
      <c r="AB3" s="71" cm="1">
        <f t="array" ref="AB3">_xlfn.STDEV.S(_xlfn._xlws.FILTER($H:$H, ($C:$C=$J3) * ($E:$E=AB$1)))</f>
        <v>11.786291472158096</v>
      </c>
      <c r="AC3" s="10">
        <f t="shared" ref="AC3:AC4" si="2">STDEV(L3:S3)</f>
        <v>9.8602567257862361</v>
      </c>
    </row>
    <row r="4" spans="1:29" x14ac:dyDescent="0.25">
      <c r="A4" s="10"/>
      <c r="B4" s="10"/>
      <c r="C4" s="10"/>
      <c r="D4" s="10"/>
      <c r="E4" s="10"/>
      <c r="F4" s="10"/>
      <c r="G4"/>
      <c r="J4" s="10">
        <v>1</v>
      </c>
      <c r="K4" s="74">
        <f>AVERAGEIF($C:$C,$J4,$H:$H)</f>
        <v>99.454545454545453</v>
      </c>
      <c r="L4" s="69">
        <f>AVERAGEIFS($H:$H, $C:$C, $J4, $E:$E, L$1)</f>
        <v>97.25</v>
      </c>
      <c r="M4" s="69">
        <f t="shared" si="1"/>
        <v>98.8</v>
      </c>
      <c r="N4" s="69">
        <f t="shared" si="1"/>
        <v>99.75</v>
      </c>
      <c r="O4" s="69">
        <f t="shared" si="1"/>
        <v>92.75</v>
      </c>
      <c r="P4" s="69">
        <f t="shared" si="1"/>
        <v>94.5</v>
      </c>
      <c r="Q4" s="69">
        <f t="shared" si="1"/>
        <v>106.75</v>
      </c>
      <c r="R4" s="69">
        <f t="shared" si="1"/>
        <v>104.25</v>
      </c>
      <c r="S4" s="69">
        <f t="shared" si="1"/>
        <v>101.75</v>
      </c>
      <c r="T4" s="73" cm="1">
        <f t="array" ref="T4">_xlfn.STDEV.S(_xlfn._xlws.FILTER($H:$H, $C:$C=$J4))</f>
        <v>12.980973839361281</v>
      </c>
      <c r="U4" s="71" cm="1">
        <f t="array" ref="U4">_xlfn.STDEV.S(_xlfn._xlws.FILTER($H:$H, ($C:$C=$J4) * ($E:$E=U$1)))</f>
        <v>6.6017674401127868</v>
      </c>
      <c r="V4" s="71" cm="1">
        <f t="array" ref="V4">_xlfn.STDEV.S(_xlfn._xlws.FILTER($H:$H, ($C:$C=$J4) * ($E:$E=V$1)))</f>
        <v>13.553597308463932</v>
      </c>
      <c r="W4" s="71" cm="1">
        <f t="array" ref="W4">_xlfn.STDEV.S(_xlfn._xlws.FILTER($H:$H, ($C:$C=$J4) * ($E:$E=W$1)))</f>
        <v>10.90489186863706</v>
      </c>
      <c r="X4" s="71" cm="1">
        <f t="array" ref="X4">_xlfn.STDEV.S(_xlfn._xlws.FILTER($H:$H, ($C:$C=$J4) * ($E:$E=X$1)))</f>
        <v>23.471614061812335</v>
      </c>
      <c r="Y4" s="71" cm="1">
        <f t="array" ref="Y4">_xlfn.STDEV.S(_xlfn._xlws.FILTER($H:$H, ($C:$C=$J4) * ($E:$E=Y$1)))</f>
        <v>12.261049438499681</v>
      </c>
      <c r="Z4" s="71" cm="1">
        <f t="array" ref="Z4">_xlfn.STDEV.S(_xlfn._xlws.FILTER($H:$H, ($C:$C=$J4) * ($E:$E=Z$1)))</f>
        <v>5.6789083458002736</v>
      </c>
      <c r="AA4" s="71" cm="1">
        <f t="array" ref="AA4">_xlfn.STDEV.S(_xlfn._xlws.FILTER($H:$H, ($C:$C=$J4) * ($E:$E=AA$1)))</f>
        <v>8.1802607945386843</v>
      </c>
      <c r="AB4" s="71" cm="1">
        <f t="array" ref="AB4">_xlfn.STDEV.S(_xlfn._xlws.FILTER($H:$H, ($C:$C=$J4) * ($E:$E=AB$1)))</f>
        <v>19.517086531208154</v>
      </c>
      <c r="AC4" s="10">
        <f t="shared" si="2"/>
        <v>4.7262186637038761</v>
      </c>
    </row>
    <row r="5" spans="1:29" x14ac:dyDescent="0.25">
      <c r="A5" s="10"/>
      <c r="B5" s="10"/>
      <c r="C5" s="10"/>
      <c r="D5" s="10"/>
      <c r="E5" s="10"/>
      <c r="F5" s="10"/>
      <c r="G5"/>
      <c r="L5"/>
      <c r="M5"/>
      <c r="N5"/>
      <c r="O5"/>
      <c r="P5"/>
      <c r="Q5"/>
      <c r="R5"/>
      <c r="S5"/>
      <c r="T5"/>
      <c r="U5"/>
      <c r="V5"/>
    </row>
    <row r="6" spans="1:29" x14ac:dyDescent="0.25">
      <c r="A6" s="10"/>
      <c r="B6" s="10"/>
      <c r="C6" s="10"/>
      <c r="D6" s="10"/>
      <c r="E6" s="10"/>
      <c r="F6" s="10"/>
      <c r="G6"/>
      <c r="L6"/>
      <c r="M6"/>
      <c r="N6"/>
      <c r="O6"/>
      <c r="P6"/>
      <c r="Q6"/>
      <c r="R6"/>
      <c r="S6"/>
      <c r="T6"/>
      <c r="U6"/>
      <c r="V6"/>
    </row>
    <row r="7" spans="1:29" x14ac:dyDescent="0.25">
      <c r="A7" s="10"/>
      <c r="B7" s="10"/>
      <c r="C7" s="10"/>
      <c r="D7" s="10"/>
      <c r="E7" s="10"/>
      <c r="F7" s="10"/>
      <c r="G7"/>
    </row>
    <row r="8" spans="1:29" x14ac:dyDescent="0.25">
      <c r="A8" s="10"/>
      <c r="B8" s="10"/>
      <c r="C8" s="10"/>
      <c r="D8" s="10"/>
      <c r="E8" s="10"/>
      <c r="F8" s="10"/>
      <c r="G8"/>
    </row>
    <row r="9" spans="1:29" x14ac:dyDescent="0.25">
      <c r="A9" s="10"/>
      <c r="B9" s="10"/>
      <c r="C9" s="10"/>
      <c r="D9" s="10"/>
      <c r="E9" s="10"/>
      <c r="F9" s="10"/>
      <c r="G9"/>
    </row>
    <row r="10" spans="1:29" x14ac:dyDescent="0.25">
      <c r="A10" s="10"/>
      <c r="B10" s="10"/>
      <c r="C10" s="10"/>
      <c r="D10" s="10"/>
      <c r="E10" s="10"/>
      <c r="F10" s="10"/>
      <c r="G10"/>
    </row>
    <row r="11" spans="1:29" x14ac:dyDescent="0.25">
      <c r="A11" s="10"/>
      <c r="B11" s="10"/>
      <c r="C11" s="10"/>
      <c r="D11" s="10"/>
      <c r="E11" s="10"/>
      <c r="F11" s="10"/>
      <c r="G11"/>
    </row>
    <row r="12" spans="1:29" x14ac:dyDescent="0.25">
      <c r="A12" s="10"/>
      <c r="B12" s="10"/>
      <c r="C12" s="10"/>
      <c r="D12" s="10"/>
      <c r="E12" s="10"/>
      <c r="F12" s="10"/>
      <c r="G12"/>
    </row>
    <row r="13" spans="1:29" x14ac:dyDescent="0.25">
      <c r="A13" s="10"/>
      <c r="B13" s="10"/>
      <c r="C13" s="10"/>
      <c r="D13" s="10"/>
      <c r="E13" s="10"/>
      <c r="F13" s="10"/>
      <c r="G13"/>
    </row>
    <row r="14" spans="1:29" x14ac:dyDescent="0.25">
      <c r="A14" s="10"/>
      <c r="B14" s="10"/>
      <c r="C14" s="10"/>
      <c r="D14" s="10"/>
      <c r="E14" s="10"/>
      <c r="F14" s="10"/>
      <c r="G14"/>
    </row>
    <row r="15" spans="1:29" x14ac:dyDescent="0.25">
      <c r="A15" s="10"/>
      <c r="B15" s="10"/>
      <c r="C15" s="10"/>
      <c r="D15" s="10"/>
      <c r="E15" s="10"/>
      <c r="F15" s="10"/>
      <c r="G15"/>
    </row>
    <row r="16" spans="1:29" ht="18.75" customHeight="1" x14ac:dyDescent="0.25">
      <c r="A16" s="10"/>
      <c r="B16" s="10"/>
      <c r="C16" s="10"/>
      <c r="D16" s="10"/>
      <c r="E16" s="10"/>
      <c r="F16" s="10"/>
      <c r="G16"/>
    </row>
    <row r="17" spans="1:19" s="17" customFormat="1" ht="54" customHeight="1" thickBot="1" x14ac:dyDescent="0.3">
      <c r="A17" s="16" t="s">
        <v>43</v>
      </c>
      <c r="B17" s="16" t="s">
        <v>44</v>
      </c>
      <c r="C17" s="16" t="s">
        <v>45</v>
      </c>
      <c r="D17" s="16" t="s">
        <v>46</v>
      </c>
      <c r="E17" s="16" t="s">
        <v>47</v>
      </c>
      <c r="F17" s="16"/>
      <c r="G17" s="16" t="s">
        <v>142</v>
      </c>
      <c r="H17" s="16" t="s">
        <v>143</v>
      </c>
      <c r="L17"/>
      <c r="M17"/>
      <c r="N17"/>
      <c r="O17"/>
      <c r="P17"/>
      <c r="Q17"/>
      <c r="R17"/>
      <c r="S17"/>
    </row>
    <row r="18" spans="1:19" x14ac:dyDescent="0.25">
      <c r="A18" s="15">
        <v>1</v>
      </c>
      <c r="B18" s="15">
        <v>118</v>
      </c>
      <c r="C18" s="15">
        <v>0.5</v>
      </c>
      <c r="D18" s="15">
        <v>1</v>
      </c>
      <c r="E18" s="15">
        <v>2</v>
      </c>
      <c r="G18" s="18">
        <v>206</v>
      </c>
      <c r="H18" s="15">
        <f>G18-B18</f>
        <v>88</v>
      </c>
      <c r="L18"/>
      <c r="M18"/>
      <c r="N18"/>
      <c r="O18"/>
      <c r="P18"/>
      <c r="Q18"/>
      <c r="R18"/>
      <c r="S18"/>
    </row>
    <row r="19" spans="1:19" x14ac:dyDescent="0.25">
      <c r="A19" s="15">
        <v>2</v>
      </c>
      <c r="B19" s="15">
        <v>118</v>
      </c>
      <c r="C19" s="15">
        <v>0.5</v>
      </c>
      <c r="D19" s="15">
        <v>1</v>
      </c>
      <c r="E19" s="15">
        <v>1</v>
      </c>
      <c r="G19" s="18">
        <v>219</v>
      </c>
      <c r="H19" s="15">
        <f>G19-B19</f>
        <v>101</v>
      </c>
      <c r="L19"/>
      <c r="M19"/>
      <c r="N19"/>
      <c r="O19"/>
      <c r="P19"/>
      <c r="Q19"/>
      <c r="R19"/>
      <c r="S19"/>
    </row>
    <row r="20" spans="1:19" x14ac:dyDescent="0.25">
      <c r="A20" s="15">
        <v>3</v>
      </c>
      <c r="B20" s="15">
        <v>118</v>
      </c>
      <c r="C20" s="15">
        <v>0.5</v>
      </c>
      <c r="D20" s="15">
        <v>1</v>
      </c>
      <c r="E20" s="15">
        <v>4</v>
      </c>
      <c r="G20" s="18">
        <v>212</v>
      </c>
      <c r="H20" s="15">
        <f>G20-B20</f>
        <v>94</v>
      </c>
      <c r="L20"/>
      <c r="M20"/>
      <c r="N20"/>
      <c r="O20"/>
      <c r="P20"/>
      <c r="Q20"/>
      <c r="R20"/>
      <c r="S20"/>
    </row>
    <row r="21" spans="1:19" x14ac:dyDescent="0.25">
      <c r="A21" s="15">
        <v>4</v>
      </c>
      <c r="B21" s="15">
        <v>118</v>
      </c>
      <c r="C21" s="15">
        <v>0.5</v>
      </c>
      <c r="D21" s="15">
        <v>1</v>
      </c>
      <c r="E21" s="15">
        <v>5</v>
      </c>
      <c r="G21" s="18">
        <v>187</v>
      </c>
      <c r="H21" s="15">
        <f>G21-B21</f>
        <v>69</v>
      </c>
      <c r="L21"/>
      <c r="M21"/>
      <c r="N21"/>
      <c r="O21"/>
      <c r="P21"/>
      <c r="Q21"/>
      <c r="R21"/>
      <c r="S21"/>
    </row>
    <row r="22" spans="1:19" x14ac:dyDescent="0.25">
      <c r="A22" s="15">
        <v>5</v>
      </c>
      <c r="B22" s="15">
        <v>118</v>
      </c>
      <c r="C22" s="15">
        <v>0.5</v>
      </c>
      <c r="D22" s="15">
        <v>1</v>
      </c>
      <c r="E22" s="15">
        <v>6</v>
      </c>
      <c r="G22" s="18">
        <v>216</v>
      </c>
      <c r="H22" s="15">
        <f>G22-B22</f>
        <v>98</v>
      </c>
      <c r="L22"/>
      <c r="M22"/>
      <c r="N22"/>
      <c r="O22"/>
      <c r="P22"/>
      <c r="Q22"/>
      <c r="R22"/>
      <c r="S22"/>
    </row>
    <row r="23" spans="1:19" x14ac:dyDescent="0.25">
      <c r="A23" s="15">
        <v>6</v>
      </c>
      <c r="B23" s="15">
        <v>118</v>
      </c>
      <c r="C23" s="15">
        <v>0.5</v>
      </c>
      <c r="D23" s="15">
        <v>1</v>
      </c>
      <c r="E23" s="15">
        <v>7</v>
      </c>
      <c r="G23" s="18">
        <v>226</v>
      </c>
      <c r="H23" s="15">
        <f>G23-B23</f>
        <v>108</v>
      </c>
      <c r="L23"/>
      <c r="M23"/>
      <c r="N23"/>
      <c r="O23"/>
      <c r="P23"/>
      <c r="Q23"/>
      <c r="R23"/>
      <c r="S23"/>
    </row>
    <row r="24" spans="1:19" x14ac:dyDescent="0.25">
      <c r="A24" s="15">
        <v>7</v>
      </c>
      <c r="B24" s="15">
        <v>118</v>
      </c>
      <c r="C24" s="15">
        <v>0.5</v>
      </c>
      <c r="D24" s="15">
        <v>1</v>
      </c>
      <c r="E24" s="15">
        <v>8</v>
      </c>
      <c r="G24" s="18">
        <v>219</v>
      </c>
      <c r="H24" s="15">
        <f>G24-B24</f>
        <v>101</v>
      </c>
      <c r="L24"/>
      <c r="M24"/>
      <c r="N24"/>
      <c r="O24"/>
      <c r="P24"/>
      <c r="Q24"/>
      <c r="R24"/>
      <c r="S24"/>
    </row>
    <row r="25" spans="1:19" x14ac:dyDescent="0.25">
      <c r="A25" s="15">
        <v>8</v>
      </c>
      <c r="B25" s="15">
        <v>118</v>
      </c>
      <c r="C25" s="15">
        <v>0.5</v>
      </c>
      <c r="D25" s="15">
        <v>1</v>
      </c>
      <c r="E25" s="15">
        <v>1</v>
      </c>
      <c r="G25" s="18">
        <v>215</v>
      </c>
      <c r="H25" s="15">
        <f>G25-B25</f>
        <v>97</v>
      </c>
      <c r="L25"/>
      <c r="M25"/>
      <c r="N25"/>
      <c r="O25"/>
      <c r="P25"/>
      <c r="Q25"/>
      <c r="R25"/>
      <c r="S25"/>
    </row>
    <row r="26" spans="1:19" x14ac:dyDescent="0.25">
      <c r="A26" s="15">
        <v>9</v>
      </c>
      <c r="B26" s="15">
        <v>118</v>
      </c>
      <c r="C26" s="15">
        <v>0.5</v>
      </c>
      <c r="D26" s="15">
        <v>1</v>
      </c>
      <c r="E26" s="15">
        <v>2</v>
      </c>
      <c r="G26" s="18">
        <v>222</v>
      </c>
      <c r="H26" s="15">
        <f>G26-B26</f>
        <v>104</v>
      </c>
      <c r="L26"/>
      <c r="M26"/>
      <c r="N26"/>
      <c r="O26"/>
      <c r="P26"/>
      <c r="Q26"/>
      <c r="R26"/>
      <c r="S26"/>
    </row>
    <row r="27" spans="1:19" x14ac:dyDescent="0.25">
      <c r="A27" s="15">
        <v>10</v>
      </c>
      <c r="B27" s="15">
        <v>118</v>
      </c>
      <c r="C27" s="15">
        <v>0.5</v>
      </c>
      <c r="D27" s="15">
        <v>1</v>
      </c>
      <c r="E27" s="15">
        <v>3</v>
      </c>
      <c r="G27" s="18">
        <v>225</v>
      </c>
      <c r="H27" s="15">
        <f>G27-B27</f>
        <v>107</v>
      </c>
      <c r="L27"/>
      <c r="M27"/>
      <c r="N27"/>
      <c r="O27"/>
      <c r="P27"/>
      <c r="Q27"/>
      <c r="R27"/>
      <c r="S27"/>
    </row>
    <row r="28" spans="1:19" x14ac:dyDescent="0.25">
      <c r="A28" s="15">
        <v>11</v>
      </c>
      <c r="B28" s="15">
        <v>118</v>
      </c>
      <c r="C28" s="15">
        <v>0.5</v>
      </c>
      <c r="D28" s="15">
        <v>1</v>
      </c>
      <c r="E28" s="15">
        <v>4</v>
      </c>
      <c r="G28" s="18">
        <v>200</v>
      </c>
      <c r="H28" s="15">
        <f>G28-B28</f>
        <v>82</v>
      </c>
      <c r="L28"/>
      <c r="M28"/>
      <c r="N28"/>
      <c r="O28"/>
      <c r="P28"/>
      <c r="Q28"/>
      <c r="R28"/>
      <c r="S28"/>
    </row>
    <row r="29" spans="1:19" x14ac:dyDescent="0.25">
      <c r="A29" s="15">
        <v>12</v>
      </c>
      <c r="B29" s="15">
        <v>118</v>
      </c>
      <c r="C29" s="15">
        <v>0.5</v>
      </c>
      <c r="D29" s="15">
        <v>1</v>
      </c>
      <c r="E29" s="15">
        <v>5</v>
      </c>
      <c r="G29" s="18">
        <v>219</v>
      </c>
      <c r="H29" s="15">
        <f>G29-B29</f>
        <v>101</v>
      </c>
      <c r="L29"/>
      <c r="M29"/>
      <c r="N29"/>
      <c r="O29"/>
      <c r="P29"/>
      <c r="Q29"/>
      <c r="R29"/>
      <c r="S29"/>
    </row>
    <row r="30" spans="1:19" x14ac:dyDescent="0.25">
      <c r="A30" s="15">
        <v>13</v>
      </c>
      <c r="B30" s="15">
        <v>118</v>
      </c>
      <c r="C30" s="15">
        <v>0.5</v>
      </c>
      <c r="D30" s="15">
        <v>1</v>
      </c>
      <c r="E30" s="15">
        <v>6</v>
      </c>
      <c r="G30" s="18">
        <v>237</v>
      </c>
      <c r="H30" s="15">
        <f>G30-B30</f>
        <v>119</v>
      </c>
      <c r="L30"/>
      <c r="M30"/>
      <c r="N30"/>
      <c r="O30"/>
      <c r="P30"/>
      <c r="Q30"/>
      <c r="R30"/>
      <c r="S30"/>
    </row>
    <row r="31" spans="1:19" x14ac:dyDescent="0.25">
      <c r="A31" s="15">
        <v>14</v>
      </c>
      <c r="B31" s="15">
        <v>118</v>
      </c>
      <c r="C31" s="15">
        <v>0.5</v>
      </c>
      <c r="D31" s="15">
        <v>1</v>
      </c>
      <c r="E31" s="15">
        <v>7</v>
      </c>
      <c r="G31" s="18">
        <v>219</v>
      </c>
      <c r="H31" s="15">
        <f>G31-B31</f>
        <v>101</v>
      </c>
      <c r="L31"/>
      <c r="M31"/>
      <c r="N31"/>
      <c r="O31"/>
      <c r="P31"/>
      <c r="Q31"/>
      <c r="R31"/>
      <c r="S31"/>
    </row>
    <row r="32" spans="1:19" x14ac:dyDescent="0.25">
      <c r="A32" s="15">
        <v>15</v>
      </c>
      <c r="B32" s="15">
        <v>118</v>
      </c>
      <c r="C32" s="15">
        <v>0.5</v>
      </c>
      <c r="D32" s="15">
        <v>1</v>
      </c>
      <c r="E32" s="15">
        <v>8</v>
      </c>
      <c r="G32" s="18">
        <v>237</v>
      </c>
      <c r="H32" s="15">
        <f>G32-B32</f>
        <v>119</v>
      </c>
    </row>
    <row r="33" spans="1:8" x14ac:dyDescent="0.25">
      <c r="A33" s="15">
        <v>16</v>
      </c>
      <c r="B33" s="15">
        <v>118</v>
      </c>
      <c r="C33" s="15">
        <v>0.5</v>
      </c>
      <c r="D33" s="15">
        <v>1</v>
      </c>
      <c r="E33" s="15">
        <v>1</v>
      </c>
      <c r="G33" s="18">
        <v>232</v>
      </c>
      <c r="H33" s="15">
        <f>G33-B33</f>
        <v>114</v>
      </c>
    </row>
    <row r="34" spans="1:8" x14ac:dyDescent="0.25">
      <c r="A34" s="15">
        <v>17</v>
      </c>
      <c r="B34" s="15">
        <v>118</v>
      </c>
      <c r="C34" s="15">
        <v>0.5</v>
      </c>
      <c r="D34" s="15">
        <v>1</v>
      </c>
      <c r="E34" s="15">
        <v>3</v>
      </c>
      <c r="G34" s="18">
        <v>218</v>
      </c>
      <c r="H34" s="15">
        <f>G34-B34</f>
        <v>100</v>
      </c>
    </row>
    <row r="35" spans="1:8" x14ac:dyDescent="0.25">
      <c r="A35" s="15">
        <v>18</v>
      </c>
      <c r="B35" s="15">
        <v>118</v>
      </c>
      <c r="C35" s="15">
        <v>0.5</v>
      </c>
      <c r="D35" s="15">
        <v>1</v>
      </c>
      <c r="E35" s="15">
        <v>4</v>
      </c>
      <c r="G35" s="18">
        <v>224</v>
      </c>
      <c r="H35" s="15">
        <f>G35-B35</f>
        <v>106</v>
      </c>
    </row>
    <row r="36" spans="1:8" x14ac:dyDescent="0.25">
      <c r="A36" s="15">
        <v>19</v>
      </c>
      <c r="B36" s="15">
        <v>118</v>
      </c>
      <c r="C36" s="15">
        <v>0.5</v>
      </c>
      <c r="D36" s="15">
        <v>1</v>
      </c>
      <c r="E36" s="15">
        <v>5</v>
      </c>
      <c r="G36" s="18">
        <v>221</v>
      </c>
      <c r="H36" s="15">
        <f>G36-B36</f>
        <v>103</v>
      </c>
    </row>
    <row r="37" spans="1:8" x14ac:dyDescent="0.25">
      <c r="A37" s="15">
        <v>20</v>
      </c>
      <c r="B37" s="15">
        <v>118</v>
      </c>
      <c r="C37" s="15">
        <v>0.5</v>
      </c>
      <c r="D37" s="15">
        <v>1</v>
      </c>
      <c r="E37" s="15">
        <v>7</v>
      </c>
      <c r="G37" s="18">
        <v>192</v>
      </c>
      <c r="H37" s="15">
        <f>G37-B37</f>
        <v>74</v>
      </c>
    </row>
    <row r="38" spans="1:8" x14ac:dyDescent="0.25">
      <c r="A38" s="15">
        <v>21</v>
      </c>
      <c r="B38" s="15">
        <v>118</v>
      </c>
      <c r="C38" s="15">
        <v>0.5</v>
      </c>
      <c r="D38" s="15">
        <v>1</v>
      </c>
      <c r="E38" s="15">
        <v>6</v>
      </c>
      <c r="G38" s="18">
        <v>244</v>
      </c>
      <c r="H38" s="15">
        <f>G38-B38</f>
        <v>126</v>
      </c>
    </row>
    <row r="39" spans="1:8" x14ac:dyDescent="0.25">
      <c r="A39" s="15">
        <v>22</v>
      </c>
      <c r="B39" s="15">
        <v>118</v>
      </c>
      <c r="C39" s="15">
        <v>0.5</v>
      </c>
      <c r="D39" s="15">
        <v>1</v>
      </c>
      <c r="E39" s="15">
        <v>8</v>
      </c>
      <c r="G39" s="18">
        <v>215</v>
      </c>
      <c r="H39" s="15">
        <f>G39-B39</f>
        <v>97</v>
      </c>
    </row>
    <row r="40" spans="1:8" x14ac:dyDescent="0.25">
      <c r="A40" s="15">
        <v>23</v>
      </c>
      <c r="B40" s="15">
        <v>118</v>
      </c>
      <c r="C40" s="15">
        <v>0.5</v>
      </c>
      <c r="D40" s="15">
        <v>1</v>
      </c>
      <c r="E40" s="15">
        <v>1</v>
      </c>
      <c r="G40" s="18">
        <v>207</v>
      </c>
      <c r="H40" s="15">
        <f>G40-B40</f>
        <v>89</v>
      </c>
    </row>
    <row r="41" spans="1:8" x14ac:dyDescent="0.25">
      <c r="A41" s="15">
        <v>24</v>
      </c>
      <c r="B41" s="15">
        <v>118</v>
      </c>
      <c r="C41" s="15">
        <v>0.5</v>
      </c>
      <c r="D41" s="15">
        <v>1</v>
      </c>
      <c r="E41" s="15">
        <v>2</v>
      </c>
      <c r="G41" s="18">
        <v>229</v>
      </c>
      <c r="H41" s="15">
        <f>G41-B41</f>
        <v>111</v>
      </c>
    </row>
    <row r="42" spans="1:8" x14ac:dyDescent="0.25">
      <c r="A42" s="15">
        <v>25</v>
      </c>
      <c r="B42" s="15">
        <v>118</v>
      </c>
      <c r="C42" s="15">
        <v>0.5</v>
      </c>
      <c r="D42" s="15">
        <v>1</v>
      </c>
      <c r="E42" s="15">
        <v>3</v>
      </c>
      <c r="G42" s="18">
        <v>228</v>
      </c>
      <c r="H42" s="15">
        <f>G42-B42</f>
        <v>110</v>
      </c>
    </row>
    <row r="43" spans="1:8" x14ac:dyDescent="0.25">
      <c r="A43" s="15">
        <v>26</v>
      </c>
      <c r="B43" s="15">
        <v>118</v>
      </c>
      <c r="C43" s="15">
        <v>0.5</v>
      </c>
      <c r="D43" s="15">
        <v>1</v>
      </c>
      <c r="E43" s="15">
        <v>4</v>
      </c>
      <c r="G43" s="18">
        <v>221</v>
      </c>
      <c r="H43" s="15">
        <f>G43-B43</f>
        <v>103</v>
      </c>
    </row>
    <row r="44" spans="1:8" x14ac:dyDescent="0.25">
      <c r="A44" s="15">
        <v>27</v>
      </c>
      <c r="B44" s="15">
        <v>118</v>
      </c>
      <c r="C44" s="15">
        <v>0.5</v>
      </c>
      <c r="D44" s="15">
        <v>1</v>
      </c>
      <c r="E44" s="15">
        <v>5</v>
      </c>
      <c r="G44" s="18">
        <v>175</v>
      </c>
      <c r="H44" s="15">
        <f>G44-B44</f>
        <v>57</v>
      </c>
    </row>
    <row r="45" spans="1:8" x14ac:dyDescent="0.25">
      <c r="A45" s="15">
        <v>28</v>
      </c>
      <c r="B45" s="15">
        <v>118</v>
      </c>
      <c r="C45" s="15">
        <v>0.5</v>
      </c>
      <c r="D45" s="15">
        <v>1</v>
      </c>
      <c r="E45" s="15">
        <v>5</v>
      </c>
      <c r="G45" s="18">
        <v>194</v>
      </c>
      <c r="H45" s="15">
        <f>G45-B45</f>
        <v>76</v>
      </c>
    </row>
    <row r="46" spans="1:8" x14ac:dyDescent="0.25">
      <c r="A46" s="15">
        <v>29</v>
      </c>
      <c r="B46" s="15">
        <v>118</v>
      </c>
      <c r="C46" s="15">
        <v>0.5</v>
      </c>
      <c r="D46" s="15">
        <v>1</v>
      </c>
      <c r="E46" s="15">
        <v>6</v>
      </c>
      <c r="G46" s="18">
        <v>246</v>
      </c>
      <c r="H46" s="15">
        <f>G46-B46</f>
        <v>128</v>
      </c>
    </row>
    <row r="47" spans="1:8" x14ac:dyDescent="0.25">
      <c r="A47" s="15">
        <v>30</v>
      </c>
      <c r="B47" s="15">
        <v>118</v>
      </c>
      <c r="C47" s="15">
        <v>0.5</v>
      </c>
      <c r="D47" s="15">
        <v>1</v>
      </c>
      <c r="E47" s="15">
        <v>7</v>
      </c>
      <c r="G47" s="18">
        <v>183</v>
      </c>
      <c r="H47" s="15">
        <f>G47-B47</f>
        <v>65</v>
      </c>
    </row>
    <row r="48" spans="1:8" x14ac:dyDescent="0.25">
      <c r="A48" s="15">
        <v>31</v>
      </c>
      <c r="B48" s="15">
        <v>118</v>
      </c>
      <c r="C48" s="15">
        <v>0.5</v>
      </c>
      <c r="D48" s="15">
        <v>1</v>
      </c>
      <c r="E48" s="15">
        <v>8</v>
      </c>
      <c r="G48" s="18">
        <v>230</v>
      </c>
      <c r="H48" s="15">
        <f>G48-B48</f>
        <v>112</v>
      </c>
    </row>
    <row r="49" spans="1:8" x14ac:dyDescent="0.25">
      <c r="A49" s="15">
        <v>32</v>
      </c>
      <c r="B49" s="15">
        <v>118</v>
      </c>
      <c r="C49" s="15">
        <v>0.75</v>
      </c>
      <c r="D49" s="15">
        <v>1</v>
      </c>
      <c r="E49" s="15">
        <v>1</v>
      </c>
      <c r="G49" s="18">
        <v>201</v>
      </c>
      <c r="H49" s="15">
        <f>G49-B49</f>
        <v>83</v>
      </c>
    </row>
    <row r="50" spans="1:8" x14ac:dyDescent="0.25">
      <c r="A50" s="15">
        <v>33</v>
      </c>
      <c r="B50" s="15">
        <v>118</v>
      </c>
      <c r="C50" s="15">
        <v>0.75</v>
      </c>
      <c r="D50" s="15">
        <v>1</v>
      </c>
      <c r="E50" s="15">
        <v>2</v>
      </c>
      <c r="G50" s="18">
        <v>212</v>
      </c>
      <c r="H50" s="15">
        <f>G50-B50</f>
        <v>94</v>
      </c>
    </row>
    <row r="51" spans="1:8" x14ac:dyDescent="0.25">
      <c r="A51" s="15">
        <v>34</v>
      </c>
      <c r="B51" s="15">
        <v>118</v>
      </c>
      <c r="C51" s="15">
        <v>0.75</v>
      </c>
      <c r="D51" s="15">
        <v>1</v>
      </c>
      <c r="E51" s="15">
        <v>3</v>
      </c>
      <c r="G51" s="18">
        <v>223</v>
      </c>
      <c r="H51" s="15">
        <f>G51-B51</f>
        <v>105</v>
      </c>
    </row>
    <row r="52" spans="1:8" x14ac:dyDescent="0.25">
      <c r="A52" s="15">
        <v>35</v>
      </c>
      <c r="B52" s="15">
        <v>118</v>
      </c>
      <c r="C52" s="15">
        <v>0.75</v>
      </c>
      <c r="D52" s="15">
        <v>1</v>
      </c>
      <c r="E52" s="15">
        <v>5</v>
      </c>
      <c r="G52" s="18">
        <v>226</v>
      </c>
      <c r="H52" s="15">
        <f>G52-B52</f>
        <v>108</v>
      </c>
    </row>
    <row r="53" spans="1:8" x14ac:dyDescent="0.25">
      <c r="A53" s="15">
        <v>36</v>
      </c>
      <c r="B53" s="15">
        <v>118</v>
      </c>
      <c r="C53" s="15">
        <v>0.75</v>
      </c>
      <c r="D53" s="15">
        <v>1</v>
      </c>
      <c r="E53" s="15">
        <v>6</v>
      </c>
      <c r="G53" s="18">
        <v>225</v>
      </c>
      <c r="H53" s="15">
        <f>G53-B53</f>
        <v>107</v>
      </c>
    </row>
    <row r="54" spans="1:8" x14ac:dyDescent="0.25">
      <c r="A54" s="15">
        <v>37</v>
      </c>
      <c r="B54" s="15">
        <v>118</v>
      </c>
      <c r="C54" s="15">
        <v>0.75</v>
      </c>
      <c r="D54" s="15">
        <v>1</v>
      </c>
      <c r="E54" s="15">
        <v>7</v>
      </c>
      <c r="G54" s="18">
        <v>235</v>
      </c>
      <c r="H54" s="15">
        <f>G54-B54</f>
        <v>117</v>
      </c>
    </row>
    <row r="55" spans="1:8" x14ac:dyDescent="0.25">
      <c r="A55" s="15">
        <v>38</v>
      </c>
      <c r="B55" s="15">
        <v>118</v>
      </c>
      <c r="C55" s="15">
        <v>0.75</v>
      </c>
      <c r="D55" s="15">
        <v>1</v>
      </c>
      <c r="E55" s="15">
        <v>8</v>
      </c>
      <c r="G55" s="18">
        <v>226</v>
      </c>
      <c r="H55" s="15">
        <f>G55-B55</f>
        <v>108</v>
      </c>
    </row>
    <row r="56" spans="1:8" x14ac:dyDescent="0.25">
      <c r="A56" s="15">
        <v>39</v>
      </c>
      <c r="B56" s="15">
        <v>118</v>
      </c>
      <c r="C56" s="15">
        <v>0.75</v>
      </c>
      <c r="D56" s="15">
        <v>1</v>
      </c>
      <c r="E56" s="15">
        <v>1</v>
      </c>
      <c r="G56" s="18">
        <v>215</v>
      </c>
      <c r="H56" s="15">
        <f>G56-B56</f>
        <v>97</v>
      </c>
    </row>
    <row r="57" spans="1:8" x14ac:dyDescent="0.25">
      <c r="A57" s="15">
        <v>40</v>
      </c>
      <c r="B57" s="15">
        <v>118</v>
      </c>
      <c r="C57" s="15">
        <v>0.75</v>
      </c>
      <c r="D57" s="15">
        <v>1</v>
      </c>
      <c r="E57" s="15">
        <v>2</v>
      </c>
      <c r="G57" s="18">
        <v>217</v>
      </c>
      <c r="H57" s="15">
        <f>G57-B57</f>
        <v>99</v>
      </c>
    </row>
    <row r="58" spans="1:8" x14ac:dyDescent="0.25">
      <c r="A58" s="15">
        <v>41</v>
      </c>
      <c r="B58" s="15">
        <v>118</v>
      </c>
      <c r="C58" s="15">
        <v>0.75</v>
      </c>
      <c r="D58" s="15">
        <v>1</v>
      </c>
      <c r="E58" s="15">
        <v>5</v>
      </c>
      <c r="G58" s="18">
        <v>205</v>
      </c>
      <c r="H58" s="15">
        <f>G58-B58</f>
        <v>87</v>
      </c>
    </row>
    <row r="59" spans="1:8" x14ac:dyDescent="0.25">
      <c r="A59" s="15">
        <v>42</v>
      </c>
      <c r="B59" s="15">
        <v>118</v>
      </c>
      <c r="C59" s="15">
        <v>0.75</v>
      </c>
      <c r="D59" s="15">
        <v>1</v>
      </c>
      <c r="E59" s="15">
        <v>6</v>
      </c>
      <c r="G59" s="18">
        <v>237</v>
      </c>
      <c r="H59" s="15">
        <f>G59-B59</f>
        <v>119</v>
      </c>
    </row>
    <row r="60" spans="1:8" x14ac:dyDescent="0.25">
      <c r="A60" s="15">
        <v>43</v>
      </c>
      <c r="B60" s="15">
        <v>118</v>
      </c>
      <c r="C60" s="15">
        <v>0.75</v>
      </c>
      <c r="D60" s="15">
        <v>1</v>
      </c>
      <c r="E60" s="15">
        <v>7</v>
      </c>
      <c r="G60" s="18">
        <v>220</v>
      </c>
      <c r="H60" s="15">
        <f>G60-B60</f>
        <v>102</v>
      </c>
    </row>
    <row r="61" spans="1:8" x14ac:dyDescent="0.25">
      <c r="A61" s="15">
        <v>44</v>
      </c>
      <c r="B61" s="15">
        <v>118</v>
      </c>
      <c r="C61" s="15">
        <v>0.75</v>
      </c>
      <c r="D61" s="15">
        <v>1</v>
      </c>
      <c r="E61" s="15">
        <v>8</v>
      </c>
      <c r="G61" s="18">
        <v>236</v>
      </c>
      <c r="H61" s="15">
        <f>G61-B61</f>
        <v>118</v>
      </c>
    </row>
    <row r="62" spans="1:8" x14ac:dyDescent="0.25">
      <c r="A62" s="15">
        <v>45</v>
      </c>
      <c r="B62" s="15">
        <v>118</v>
      </c>
      <c r="C62" s="15">
        <v>0.75</v>
      </c>
      <c r="D62" s="15">
        <v>1</v>
      </c>
      <c r="E62" s="15">
        <v>1</v>
      </c>
      <c r="G62" s="18">
        <v>196</v>
      </c>
      <c r="H62" s="15">
        <f>G62-B62</f>
        <v>78</v>
      </c>
    </row>
    <row r="63" spans="1:8" x14ac:dyDescent="0.25">
      <c r="A63" s="15">
        <v>46</v>
      </c>
      <c r="B63" s="15">
        <v>118</v>
      </c>
      <c r="C63" s="15">
        <v>0.75</v>
      </c>
      <c r="D63" s="15">
        <v>1</v>
      </c>
      <c r="E63" s="15">
        <v>2</v>
      </c>
      <c r="G63" s="18">
        <v>228</v>
      </c>
      <c r="H63" s="15">
        <f>G63-B63</f>
        <v>110</v>
      </c>
    </row>
    <row r="64" spans="1:8" x14ac:dyDescent="0.25">
      <c r="A64" s="15">
        <v>47</v>
      </c>
      <c r="B64" s="15">
        <v>118</v>
      </c>
      <c r="C64" s="15">
        <v>0.75</v>
      </c>
      <c r="D64" s="15">
        <v>1</v>
      </c>
      <c r="E64" s="15">
        <v>3</v>
      </c>
      <c r="G64" s="18">
        <v>233</v>
      </c>
      <c r="H64" s="15">
        <f>G64-B64</f>
        <v>115</v>
      </c>
    </row>
    <row r="65" spans="1:8" x14ac:dyDescent="0.25">
      <c r="A65" s="15">
        <v>48</v>
      </c>
      <c r="B65" s="15">
        <v>118</v>
      </c>
      <c r="C65" s="15">
        <v>0.75</v>
      </c>
      <c r="D65" s="15">
        <v>1</v>
      </c>
      <c r="E65" s="15">
        <v>4</v>
      </c>
      <c r="G65" s="18">
        <v>189</v>
      </c>
      <c r="H65" s="15">
        <f>G65-B65</f>
        <v>71</v>
      </c>
    </row>
    <row r="66" spans="1:8" x14ac:dyDescent="0.25">
      <c r="A66" s="15">
        <v>49</v>
      </c>
      <c r="B66" s="15">
        <v>118</v>
      </c>
      <c r="C66" s="15">
        <v>0.75</v>
      </c>
      <c r="D66" s="15">
        <v>1</v>
      </c>
      <c r="E66" s="15">
        <v>5</v>
      </c>
      <c r="G66" s="18">
        <v>218</v>
      </c>
      <c r="H66" s="15">
        <f>G66-B66</f>
        <v>100</v>
      </c>
    </row>
    <row r="67" spans="1:8" x14ac:dyDescent="0.25">
      <c r="A67" s="15">
        <v>50</v>
      </c>
      <c r="B67" s="15">
        <v>118</v>
      </c>
      <c r="C67" s="15">
        <v>0.75</v>
      </c>
      <c r="D67" s="15">
        <v>1</v>
      </c>
      <c r="E67" s="15">
        <v>7</v>
      </c>
      <c r="G67" s="18">
        <v>235</v>
      </c>
      <c r="H67" s="15">
        <f>G67-B67</f>
        <v>117</v>
      </c>
    </row>
    <row r="68" spans="1:8" x14ac:dyDescent="0.25">
      <c r="A68" s="15">
        <v>51</v>
      </c>
      <c r="B68" s="15">
        <v>118</v>
      </c>
      <c r="C68" s="15">
        <v>0.75</v>
      </c>
      <c r="D68" s="15">
        <v>1</v>
      </c>
      <c r="E68" s="15">
        <v>7</v>
      </c>
      <c r="G68" s="18">
        <v>226</v>
      </c>
      <c r="H68" s="15">
        <f>G68-B68</f>
        <v>108</v>
      </c>
    </row>
    <row r="69" spans="1:8" x14ac:dyDescent="0.25">
      <c r="A69" s="15">
        <v>52</v>
      </c>
      <c r="B69" s="15">
        <v>118</v>
      </c>
      <c r="C69" s="15">
        <v>0.75</v>
      </c>
      <c r="D69" s="15">
        <v>1</v>
      </c>
      <c r="E69" s="15">
        <v>8</v>
      </c>
      <c r="G69" s="18">
        <v>209</v>
      </c>
      <c r="H69" s="15">
        <f>G69-B69</f>
        <v>91</v>
      </c>
    </row>
    <row r="70" spans="1:8" x14ac:dyDescent="0.25">
      <c r="A70" s="15">
        <v>53</v>
      </c>
      <c r="B70" s="15">
        <v>118</v>
      </c>
      <c r="C70" s="15">
        <v>0.75</v>
      </c>
      <c r="D70" s="15">
        <v>1</v>
      </c>
      <c r="E70" s="15">
        <v>1</v>
      </c>
      <c r="G70" s="18">
        <v>210</v>
      </c>
      <c r="H70" s="15">
        <f>G70-B70</f>
        <v>92</v>
      </c>
    </row>
    <row r="71" spans="1:8" x14ac:dyDescent="0.25">
      <c r="A71" s="15">
        <v>54</v>
      </c>
      <c r="B71" s="15">
        <v>118</v>
      </c>
      <c r="C71" s="15">
        <v>0.75</v>
      </c>
      <c r="D71" s="15">
        <v>1</v>
      </c>
      <c r="E71" s="15">
        <v>2</v>
      </c>
      <c r="G71" s="18">
        <v>218</v>
      </c>
      <c r="H71" s="15">
        <f>G71-B71</f>
        <v>100</v>
      </c>
    </row>
    <row r="72" spans="1:8" x14ac:dyDescent="0.25">
      <c r="A72" s="15">
        <v>55</v>
      </c>
      <c r="B72" s="15">
        <v>118</v>
      </c>
      <c r="C72" s="15">
        <v>0.75</v>
      </c>
      <c r="D72" s="15">
        <v>1</v>
      </c>
      <c r="E72" s="15">
        <v>3</v>
      </c>
      <c r="G72" s="18">
        <v>199</v>
      </c>
      <c r="H72" s="15">
        <f>G72-B72</f>
        <v>81</v>
      </c>
    </row>
    <row r="73" spans="1:8" x14ac:dyDescent="0.25">
      <c r="A73" s="15">
        <v>56</v>
      </c>
      <c r="B73" s="15">
        <v>118</v>
      </c>
      <c r="C73" s="15">
        <v>0.75</v>
      </c>
      <c r="D73" s="15">
        <v>1</v>
      </c>
      <c r="E73" s="15">
        <v>4</v>
      </c>
      <c r="G73" s="18">
        <v>211</v>
      </c>
      <c r="H73" s="15">
        <f>G73-B73</f>
        <v>93</v>
      </c>
    </row>
    <row r="74" spans="1:8" x14ac:dyDescent="0.25">
      <c r="A74" s="15">
        <v>57</v>
      </c>
      <c r="B74" s="15">
        <v>118</v>
      </c>
      <c r="C74" s="15">
        <v>0.75</v>
      </c>
      <c r="D74" s="15">
        <v>1</v>
      </c>
      <c r="E74" s="15">
        <v>5</v>
      </c>
      <c r="G74" s="18">
        <v>200</v>
      </c>
      <c r="H74" s="15">
        <f>G74-B74</f>
        <v>82</v>
      </c>
    </row>
    <row r="75" spans="1:8" x14ac:dyDescent="0.25">
      <c r="A75" s="15">
        <v>58</v>
      </c>
      <c r="B75" s="15">
        <v>118</v>
      </c>
      <c r="C75" s="15">
        <v>0.75</v>
      </c>
      <c r="D75" s="15">
        <v>1</v>
      </c>
      <c r="E75" s="15">
        <v>6</v>
      </c>
      <c r="G75" s="18">
        <v>224</v>
      </c>
      <c r="H75" s="15">
        <f>G75-B75</f>
        <v>106</v>
      </c>
    </row>
    <row r="76" spans="1:8" x14ac:dyDescent="0.25">
      <c r="A76" s="15">
        <v>59</v>
      </c>
      <c r="B76" s="15">
        <v>118</v>
      </c>
      <c r="C76" s="15">
        <v>0.75</v>
      </c>
      <c r="D76" s="15">
        <v>1</v>
      </c>
      <c r="E76" s="15">
        <v>7</v>
      </c>
      <c r="G76" s="18">
        <v>227</v>
      </c>
      <c r="H76" s="15">
        <f>G76-B76</f>
        <v>109</v>
      </c>
    </row>
    <row r="77" spans="1:8" x14ac:dyDescent="0.25">
      <c r="A77" s="15">
        <v>60</v>
      </c>
      <c r="B77" s="15">
        <v>118</v>
      </c>
      <c r="C77" s="15">
        <v>0.75</v>
      </c>
      <c r="D77" s="15">
        <v>1</v>
      </c>
      <c r="E77" s="15">
        <v>8</v>
      </c>
      <c r="G77" s="18">
        <v>216</v>
      </c>
      <c r="H77" s="15">
        <f>G77-B77</f>
        <v>98</v>
      </c>
    </row>
    <row r="78" spans="1:8" x14ac:dyDescent="0.25">
      <c r="A78" s="15">
        <v>61</v>
      </c>
      <c r="B78" s="15">
        <v>118</v>
      </c>
      <c r="C78" s="15">
        <v>0.75</v>
      </c>
      <c r="D78" s="15">
        <v>1</v>
      </c>
      <c r="E78" s="15">
        <v>1</v>
      </c>
      <c r="G78" s="18">
        <v>221</v>
      </c>
      <c r="H78" s="15">
        <f>G78-B78</f>
        <v>103</v>
      </c>
    </row>
    <row r="79" spans="1:8" x14ac:dyDescent="0.25">
      <c r="A79" s="15">
        <v>62</v>
      </c>
      <c r="B79" s="15">
        <v>118</v>
      </c>
      <c r="C79" s="15">
        <v>0.75</v>
      </c>
      <c r="D79" s="15">
        <v>1</v>
      </c>
      <c r="E79" s="15">
        <v>5</v>
      </c>
      <c r="G79" s="18">
        <v>212</v>
      </c>
      <c r="H79" s="15">
        <f>G79-B79</f>
        <v>94</v>
      </c>
    </row>
    <row r="80" spans="1:8" x14ac:dyDescent="0.25">
      <c r="A80" s="15">
        <v>63</v>
      </c>
      <c r="B80" s="15">
        <v>118</v>
      </c>
      <c r="C80" s="15">
        <v>1</v>
      </c>
      <c r="D80" s="15">
        <v>1</v>
      </c>
      <c r="E80" s="15">
        <v>2</v>
      </c>
      <c r="G80" s="18">
        <v>210</v>
      </c>
      <c r="H80" s="15">
        <f>G80-B80</f>
        <v>92</v>
      </c>
    </row>
    <row r="81" spans="1:8" x14ac:dyDescent="0.25">
      <c r="A81" s="15">
        <v>64</v>
      </c>
      <c r="B81" s="15">
        <v>118</v>
      </c>
      <c r="C81" s="15">
        <v>1</v>
      </c>
      <c r="D81" s="15">
        <v>1</v>
      </c>
      <c r="E81" s="15">
        <v>3</v>
      </c>
      <c r="G81" s="18">
        <v>222</v>
      </c>
      <c r="H81" s="15">
        <f>G81-B81</f>
        <v>104</v>
      </c>
    </row>
    <row r="82" spans="1:8" x14ac:dyDescent="0.25">
      <c r="A82" s="15">
        <v>65</v>
      </c>
      <c r="B82" s="15">
        <v>118</v>
      </c>
      <c r="C82" s="15">
        <v>1</v>
      </c>
      <c r="D82" s="15">
        <v>1</v>
      </c>
      <c r="E82" s="15">
        <v>4</v>
      </c>
      <c r="G82" s="18">
        <v>225</v>
      </c>
      <c r="H82" s="15">
        <f>G82-B82</f>
        <v>107</v>
      </c>
    </row>
    <row r="83" spans="1:8" x14ac:dyDescent="0.25">
      <c r="A83" s="15">
        <v>66</v>
      </c>
      <c r="B83" s="15">
        <v>118</v>
      </c>
      <c r="C83" s="15">
        <v>1</v>
      </c>
      <c r="D83" s="15">
        <v>1</v>
      </c>
      <c r="E83" s="15">
        <v>5</v>
      </c>
      <c r="G83" s="18">
        <v>201</v>
      </c>
      <c r="H83" s="15">
        <f>G83-B83</f>
        <v>83</v>
      </c>
    </row>
    <row r="84" spans="1:8" x14ac:dyDescent="0.25">
      <c r="A84" s="15">
        <v>67</v>
      </c>
      <c r="B84" s="15">
        <v>118</v>
      </c>
      <c r="C84" s="15">
        <v>1</v>
      </c>
      <c r="D84" s="15">
        <v>1</v>
      </c>
      <c r="E84" s="15">
        <v>6</v>
      </c>
      <c r="G84" s="18">
        <v>231</v>
      </c>
      <c r="H84" s="15">
        <f>G84-B84</f>
        <v>113</v>
      </c>
    </row>
    <row r="85" spans="1:8" x14ac:dyDescent="0.25">
      <c r="A85" s="15">
        <v>68</v>
      </c>
      <c r="B85" s="15">
        <v>118</v>
      </c>
      <c r="C85" s="15">
        <v>1</v>
      </c>
      <c r="D85" s="15">
        <v>1</v>
      </c>
      <c r="E85" s="15">
        <v>7</v>
      </c>
      <c r="G85" s="18">
        <v>226</v>
      </c>
      <c r="H85" s="15">
        <f>G85-B85</f>
        <v>108</v>
      </c>
    </row>
    <row r="86" spans="1:8" x14ac:dyDescent="0.25">
      <c r="A86" s="15">
        <v>69</v>
      </c>
      <c r="B86" s="15">
        <v>118</v>
      </c>
      <c r="C86" s="15">
        <v>1</v>
      </c>
      <c r="D86" s="15">
        <v>1</v>
      </c>
      <c r="E86" s="15">
        <v>8</v>
      </c>
      <c r="G86" s="18">
        <v>209</v>
      </c>
      <c r="H86" s="15">
        <f>G86-B86</f>
        <v>91</v>
      </c>
    </row>
    <row r="87" spans="1:8" x14ac:dyDescent="0.25">
      <c r="A87" s="15">
        <v>70</v>
      </c>
      <c r="B87" s="15">
        <v>118</v>
      </c>
      <c r="C87" s="15">
        <v>1</v>
      </c>
      <c r="D87" s="15">
        <v>1</v>
      </c>
      <c r="E87" s="15">
        <v>1</v>
      </c>
      <c r="G87" s="18">
        <v>214</v>
      </c>
      <c r="H87" s="15">
        <f>G87-B87</f>
        <v>96</v>
      </c>
    </row>
    <row r="88" spans="1:8" x14ac:dyDescent="0.25">
      <c r="A88" s="15">
        <v>71</v>
      </c>
      <c r="B88" s="15">
        <v>118</v>
      </c>
      <c r="C88" s="15">
        <v>1</v>
      </c>
      <c r="D88" s="15">
        <v>1</v>
      </c>
      <c r="E88" s="15">
        <v>2</v>
      </c>
      <c r="G88" s="18">
        <v>227</v>
      </c>
      <c r="H88" s="15">
        <f>G88-B88</f>
        <v>109</v>
      </c>
    </row>
    <row r="89" spans="1:8" x14ac:dyDescent="0.25">
      <c r="A89" s="15">
        <v>72</v>
      </c>
      <c r="B89" s="15">
        <v>118</v>
      </c>
      <c r="C89" s="15">
        <v>1</v>
      </c>
      <c r="D89" s="15">
        <v>1</v>
      </c>
      <c r="E89" s="15">
        <v>3</v>
      </c>
      <c r="G89" s="18">
        <v>227</v>
      </c>
      <c r="H89" s="15">
        <f>G89-B89</f>
        <v>109</v>
      </c>
    </row>
    <row r="90" spans="1:8" x14ac:dyDescent="0.25">
      <c r="A90" s="15">
        <v>73</v>
      </c>
      <c r="B90" s="15">
        <v>118</v>
      </c>
      <c r="C90" s="15">
        <v>1</v>
      </c>
      <c r="D90" s="15">
        <v>1</v>
      </c>
      <c r="E90" s="15">
        <v>4</v>
      </c>
      <c r="G90" s="18">
        <v>195</v>
      </c>
      <c r="H90" s="15">
        <f>G90-B90</f>
        <v>77</v>
      </c>
    </row>
    <row r="91" spans="1:8" x14ac:dyDescent="0.25">
      <c r="A91" s="15">
        <v>74</v>
      </c>
      <c r="B91" s="15">
        <v>118</v>
      </c>
      <c r="C91" s="15">
        <v>1</v>
      </c>
      <c r="D91" s="15">
        <v>1</v>
      </c>
      <c r="E91" s="15">
        <v>5</v>
      </c>
      <c r="G91" s="18">
        <v>225</v>
      </c>
      <c r="H91" s="15">
        <f>G91-B91</f>
        <v>107</v>
      </c>
    </row>
    <row r="92" spans="1:8" x14ac:dyDescent="0.25">
      <c r="A92" s="15">
        <v>75</v>
      </c>
      <c r="B92" s="15">
        <v>118</v>
      </c>
      <c r="C92" s="15">
        <v>1</v>
      </c>
      <c r="D92" s="15">
        <v>1</v>
      </c>
      <c r="E92" s="15">
        <v>6</v>
      </c>
      <c r="G92" s="18">
        <v>221</v>
      </c>
      <c r="H92" s="15">
        <f>G92-B92</f>
        <v>103</v>
      </c>
    </row>
    <row r="93" spans="1:8" x14ac:dyDescent="0.25">
      <c r="A93" s="15">
        <v>76</v>
      </c>
      <c r="B93" s="15">
        <v>118</v>
      </c>
      <c r="C93" s="15">
        <v>1</v>
      </c>
      <c r="D93" s="15">
        <v>1</v>
      </c>
      <c r="E93" s="15">
        <v>7</v>
      </c>
      <c r="G93" s="18">
        <v>215</v>
      </c>
      <c r="H93" s="15">
        <f>G93-B93</f>
        <v>97</v>
      </c>
    </row>
    <row r="94" spans="1:8" x14ac:dyDescent="0.25">
      <c r="A94" s="15">
        <v>77</v>
      </c>
      <c r="B94" s="15">
        <v>118</v>
      </c>
      <c r="C94" s="15">
        <v>1</v>
      </c>
      <c r="D94" s="15">
        <v>1</v>
      </c>
      <c r="E94" s="15">
        <v>8</v>
      </c>
      <c r="G94" s="18">
        <v>249</v>
      </c>
      <c r="H94" s="15">
        <f>G94-B94</f>
        <v>131</v>
      </c>
    </row>
    <row r="95" spans="1:8" x14ac:dyDescent="0.25">
      <c r="A95" s="15">
        <v>78</v>
      </c>
      <c r="B95" s="15">
        <v>118</v>
      </c>
      <c r="C95" s="15">
        <v>1</v>
      </c>
      <c r="D95" s="15">
        <v>1</v>
      </c>
      <c r="E95" s="15">
        <v>1</v>
      </c>
      <c r="G95" s="18">
        <v>208</v>
      </c>
      <c r="H95" s="15">
        <f>G95-B95</f>
        <v>90</v>
      </c>
    </row>
    <row r="96" spans="1:8" x14ac:dyDescent="0.25">
      <c r="A96" s="15">
        <v>79</v>
      </c>
      <c r="B96" s="15">
        <v>118</v>
      </c>
      <c r="C96" s="15">
        <v>1</v>
      </c>
      <c r="D96" s="15">
        <v>1</v>
      </c>
      <c r="E96" s="15">
        <v>2</v>
      </c>
      <c r="G96" s="18">
        <v>226</v>
      </c>
      <c r="H96" s="15">
        <f>G96-B96</f>
        <v>108</v>
      </c>
    </row>
    <row r="97" spans="1:8" x14ac:dyDescent="0.25">
      <c r="A97" s="15">
        <v>80</v>
      </c>
      <c r="B97" s="15">
        <v>118</v>
      </c>
      <c r="C97" s="15">
        <v>1</v>
      </c>
      <c r="D97" s="15">
        <v>1</v>
      </c>
      <c r="E97" s="15">
        <v>3</v>
      </c>
      <c r="G97" s="18">
        <v>220</v>
      </c>
      <c r="H97" s="15">
        <f>G97-B97</f>
        <v>102</v>
      </c>
    </row>
    <row r="98" spans="1:8" x14ac:dyDescent="0.25">
      <c r="A98" s="15">
        <v>81</v>
      </c>
      <c r="B98" s="15">
        <v>118</v>
      </c>
      <c r="C98" s="15">
        <v>1</v>
      </c>
      <c r="D98" s="15">
        <v>1</v>
      </c>
      <c r="E98" s="15">
        <v>4</v>
      </c>
      <c r="G98" s="18">
        <v>236</v>
      </c>
      <c r="H98" s="15">
        <f>G98-B98</f>
        <v>118</v>
      </c>
    </row>
    <row r="99" spans="1:8" x14ac:dyDescent="0.25">
      <c r="A99" s="15">
        <v>82</v>
      </c>
      <c r="B99" s="15">
        <v>118</v>
      </c>
      <c r="C99" s="15">
        <v>1</v>
      </c>
      <c r="D99" s="15">
        <v>1</v>
      </c>
      <c r="E99" s="15">
        <v>5</v>
      </c>
      <c r="G99" s="18">
        <v>203</v>
      </c>
      <c r="H99" s="15">
        <f>G99-B99</f>
        <v>85</v>
      </c>
    </row>
    <row r="100" spans="1:8" x14ac:dyDescent="0.25">
      <c r="A100" s="15">
        <v>83</v>
      </c>
      <c r="B100" s="15">
        <v>118</v>
      </c>
      <c r="C100" s="15">
        <v>1</v>
      </c>
      <c r="D100" s="15">
        <v>1</v>
      </c>
      <c r="E100" s="15">
        <v>6</v>
      </c>
      <c r="G100" s="18">
        <v>228</v>
      </c>
      <c r="H100" s="15">
        <f>G100-B100</f>
        <v>110</v>
      </c>
    </row>
    <row r="101" spans="1:8" x14ac:dyDescent="0.25">
      <c r="A101" s="15">
        <v>84</v>
      </c>
      <c r="B101" s="15">
        <v>118</v>
      </c>
      <c r="C101" s="15">
        <v>1</v>
      </c>
      <c r="D101" s="15">
        <v>1</v>
      </c>
      <c r="E101" s="15">
        <v>7</v>
      </c>
      <c r="G101" s="18">
        <v>216</v>
      </c>
      <c r="H101" s="15">
        <f>G101-B101</f>
        <v>98</v>
      </c>
    </row>
    <row r="102" spans="1:8" x14ac:dyDescent="0.25">
      <c r="A102" s="15">
        <v>85</v>
      </c>
      <c r="B102" s="15">
        <v>118</v>
      </c>
      <c r="C102" s="15">
        <v>1</v>
      </c>
      <c r="D102" s="15">
        <v>1</v>
      </c>
      <c r="E102" s="15">
        <v>8</v>
      </c>
      <c r="G102" s="18">
        <v>210</v>
      </c>
      <c r="H102" s="15">
        <f>G102-B102</f>
        <v>92</v>
      </c>
    </row>
    <row r="103" spans="1:8" x14ac:dyDescent="0.25">
      <c r="A103" s="15">
        <v>86</v>
      </c>
      <c r="B103" s="15">
        <v>118</v>
      </c>
      <c r="C103" s="15">
        <v>1</v>
      </c>
      <c r="D103" s="15">
        <v>1</v>
      </c>
      <c r="E103" s="15">
        <v>1</v>
      </c>
      <c r="G103" s="18">
        <v>215</v>
      </c>
      <c r="H103" s="15">
        <f>G103-B103</f>
        <v>97</v>
      </c>
    </row>
    <row r="104" spans="1:8" x14ac:dyDescent="0.25">
      <c r="A104" s="15">
        <v>87</v>
      </c>
      <c r="B104" s="15">
        <v>118</v>
      </c>
      <c r="C104" s="15">
        <v>1</v>
      </c>
      <c r="D104" s="15">
        <v>1</v>
      </c>
      <c r="E104" s="15">
        <v>2</v>
      </c>
      <c r="G104" s="18">
        <v>196</v>
      </c>
      <c r="H104" s="15">
        <f>G104-B104</f>
        <v>78</v>
      </c>
    </row>
    <row r="105" spans="1:8" x14ac:dyDescent="0.25">
      <c r="A105" s="15">
        <v>88</v>
      </c>
      <c r="B105" s="15">
        <v>118</v>
      </c>
      <c r="C105" s="15">
        <v>1</v>
      </c>
      <c r="D105" s="15">
        <v>1</v>
      </c>
      <c r="E105" s="15">
        <v>3</v>
      </c>
      <c r="G105" s="18">
        <v>202</v>
      </c>
      <c r="H105" s="15">
        <f>G105-B105</f>
        <v>84</v>
      </c>
    </row>
    <row r="106" spans="1:8" x14ac:dyDescent="0.25">
      <c r="A106" s="15">
        <v>89</v>
      </c>
      <c r="B106" s="15">
        <v>118</v>
      </c>
      <c r="C106" s="15">
        <v>1</v>
      </c>
      <c r="D106" s="15">
        <v>1</v>
      </c>
      <c r="E106" s="15">
        <v>4</v>
      </c>
      <c r="G106" s="18">
        <v>187</v>
      </c>
      <c r="H106" s="15">
        <f>G106-B106</f>
        <v>69</v>
      </c>
    </row>
    <row r="107" spans="1:8" x14ac:dyDescent="0.25">
      <c r="A107" s="15">
        <v>90</v>
      </c>
      <c r="B107" s="15">
        <v>118</v>
      </c>
      <c r="C107" s="15">
        <v>1</v>
      </c>
      <c r="D107" s="15">
        <v>1</v>
      </c>
      <c r="E107" s="15">
        <v>5</v>
      </c>
      <c r="G107" s="18">
        <v>221</v>
      </c>
      <c r="H107" s="15">
        <f>G107-B107</f>
        <v>103</v>
      </c>
    </row>
    <row r="108" spans="1:8" x14ac:dyDescent="0.25">
      <c r="A108" s="15">
        <v>91</v>
      </c>
      <c r="B108" s="15">
        <v>118</v>
      </c>
      <c r="C108" s="15">
        <v>1</v>
      </c>
      <c r="D108" s="15">
        <v>1</v>
      </c>
      <c r="E108" s="15">
        <v>6</v>
      </c>
      <c r="G108" s="18">
        <v>219</v>
      </c>
      <c r="H108" s="15">
        <f>G108-B108</f>
        <v>101</v>
      </c>
    </row>
    <row r="109" spans="1:8" x14ac:dyDescent="0.25">
      <c r="A109" s="15">
        <v>92</v>
      </c>
      <c r="B109" s="15">
        <v>118</v>
      </c>
      <c r="C109" s="15">
        <v>1</v>
      </c>
      <c r="D109" s="15">
        <v>1</v>
      </c>
      <c r="E109" s="15">
        <v>7</v>
      </c>
      <c r="G109" s="18">
        <v>232</v>
      </c>
      <c r="H109" s="15">
        <f>G109-B109</f>
        <v>114</v>
      </c>
    </row>
    <row r="110" spans="1:8" x14ac:dyDescent="0.25">
      <c r="A110" s="15">
        <v>93</v>
      </c>
      <c r="B110" s="15">
        <v>118</v>
      </c>
      <c r="C110" s="15">
        <v>1</v>
      </c>
      <c r="D110" s="15">
        <v>1</v>
      </c>
      <c r="E110" s="15">
        <v>8</v>
      </c>
      <c r="G110" s="18">
        <v>211</v>
      </c>
      <c r="H110" s="15">
        <f>G110-B110</f>
        <v>93</v>
      </c>
    </row>
    <row r="111" spans="1:8" x14ac:dyDescent="0.25">
      <c r="A111" s="15">
        <v>94</v>
      </c>
      <c r="B111" s="15">
        <v>118</v>
      </c>
      <c r="C111" s="15">
        <v>1</v>
      </c>
      <c r="D111" s="15">
        <v>1</v>
      </c>
      <c r="E111" s="15">
        <v>1</v>
      </c>
      <c r="G111" s="18">
        <v>224</v>
      </c>
      <c r="H111" s="15">
        <f>G111-B111</f>
        <v>106</v>
      </c>
    </row>
    <row r="112" spans="1:8" x14ac:dyDescent="0.25">
      <c r="A112" s="15">
        <v>95</v>
      </c>
      <c r="B112" s="15">
        <v>118</v>
      </c>
      <c r="C112" s="15">
        <v>1</v>
      </c>
      <c r="D112" s="15">
        <v>1</v>
      </c>
      <c r="E112" s="15">
        <v>2</v>
      </c>
      <c r="G112" s="18">
        <v>225</v>
      </c>
      <c r="H112" s="15">
        <f>G112-B112</f>
        <v>107</v>
      </c>
    </row>
    <row r="113" spans="1:4" x14ac:dyDescent="0.25">
      <c r="A113" s="15">
        <v>96</v>
      </c>
      <c r="B113" s="15">
        <v>118</v>
      </c>
      <c r="C113" s="15">
        <v>1</v>
      </c>
      <c r="D113" s="15">
        <v>1</v>
      </c>
    </row>
    <row r="114" spans="1:4" x14ac:dyDescent="0.25">
      <c r="A114" s="15">
        <v>97</v>
      </c>
      <c r="B114" s="15">
        <v>118</v>
      </c>
      <c r="C114" s="15">
        <v>1</v>
      </c>
      <c r="D114" s="15">
        <v>1</v>
      </c>
    </row>
    <row r="115" spans="1:4" x14ac:dyDescent="0.25">
      <c r="A115" s="15">
        <v>98</v>
      </c>
      <c r="B115" s="15">
        <v>118</v>
      </c>
      <c r="C115" s="15">
        <v>1</v>
      </c>
      <c r="D115" s="15">
        <v>1</v>
      </c>
    </row>
    <row r="116" spans="1:4" x14ac:dyDescent="0.25">
      <c r="A116" s="15">
        <v>99</v>
      </c>
      <c r="B116" s="15">
        <v>118</v>
      </c>
      <c r="C116" s="15">
        <v>1</v>
      </c>
      <c r="D116" s="15">
        <v>1</v>
      </c>
    </row>
    <row r="117" spans="1:4" x14ac:dyDescent="0.25">
      <c r="A117" s="15">
        <v>100</v>
      </c>
      <c r="B117" s="15">
        <v>118</v>
      </c>
      <c r="C117" s="15">
        <v>1</v>
      </c>
      <c r="D117" s="15">
        <v>1</v>
      </c>
    </row>
    <row r="118" spans="1:4" x14ac:dyDescent="0.25">
      <c r="A118" s="15">
        <v>101</v>
      </c>
      <c r="B118" s="15">
        <v>118</v>
      </c>
      <c r="C118" s="15">
        <v>1</v>
      </c>
      <c r="D118" s="15">
        <v>1</v>
      </c>
    </row>
    <row r="119" spans="1:4" x14ac:dyDescent="0.25">
      <c r="A119" s="15">
        <v>102</v>
      </c>
      <c r="B119" s="15">
        <v>118</v>
      </c>
      <c r="C119" s="15">
        <v>1</v>
      </c>
      <c r="D119" s="15">
        <v>1</v>
      </c>
    </row>
    <row r="120" spans="1:4" x14ac:dyDescent="0.25">
      <c r="A120" s="15">
        <v>103</v>
      </c>
      <c r="B120" s="15">
        <v>118</v>
      </c>
      <c r="C120" s="15">
        <v>1</v>
      </c>
      <c r="D120" s="15">
        <v>1</v>
      </c>
    </row>
    <row r="121" spans="1:4" x14ac:dyDescent="0.25">
      <c r="A121" s="15">
        <v>104</v>
      </c>
      <c r="B121" s="15">
        <v>118</v>
      </c>
      <c r="C121" s="15">
        <v>1</v>
      </c>
      <c r="D121" s="15">
        <v>1</v>
      </c>
    </row>
    <row r="122" spans="1:4" x14ac:dyDescent="0.25">
      <c r="A122" s="15">
        <v>105</v>
      </c>
      <c r="B122" s="15">
        <v>118</v>
      </c>
      <c r="C122" s="15">
        <v>1</v>
      </c>
      <c r="D122" s="15">
        <v>1</v>
      </c>
    </row>
    <row r="123" spans="1:4" x14ac:dyDescent="0.25">
      <c r="A123" s="15">
        <v>106</v>
      </c>
      <c r="B123" s="15">
        <v>118</v>
      </c>
      <c r="C123" s="15">
        <v>1</v>
      </c>
      <c r="D123" s="15">
        <v>1</v>
      </c>
    </row>
    <row r="124" spans="1:4" x14ac:dyDescent="0.25">
      <c r="A124" s="15">
        <v>107</v>
      </c>
      <c r="B124" s="15">
        <v>118</v>
      </c>
      <c r="C124" s="15">
        <v>1</v>
      </c>
      <c r="D124" s="15">
        <v>1</v>
      </c>
    </row>
    <row r="125" spans="1:4" x14ac:dyDescent="0.25">
      <c r="A125" s="15">
        <v>108</v>
      </c>
      <c r="B125" s="15">
        <v>118</v>
      </c>
      <c r="C125" s="15">
        <v>1</v>
      </c>
      <c r="D125" s="15">
        <v>1</v>
      </c>
    </row>
    <row r="126" spans="1:4" x14ac:dyDescent="0.25">
      <c r="A126" s="15">
        <v>109</v>
      </c>
      <c r="B126" s="15">
        <v>118</v>
      </c>
      <c r="C126" s="15">
        <v>1</v>
      </c>
      <c r="D126" s="15">
        <v>1</v>
      </c>
    </row>
    <row r="127" spans="1:4" x14ac:dyDescent="0.25">
      <c r="A127" s="15">
        <v>110</v>
      </c>
      <c r="B127" s="15">
        <v>118</v>
      </c>
      <c r="C127" s="15">
        <v>1</v>
      </c>
      <c r="D127" s="15">
        <v>1</v>
      </c>
    </row>
    <row r="128" spans="1:4" x14ac:dyDescent="0.25">
      <c r="A128" s="15">
        <v>111</v>
      </c>
      <c r="B128" s="15">
        <v>118</v>
      </c>
      <c r="C128" s="15">
        <v>1</v>
      </c>
      <c r="D128" s="15">
        <v>1</v>
      </c>
    </row>
    <row r="129" spans="1:4" x14ac:dyDescent="0.25">
      <c r="A129" s="15">
        <v>112</v>
      </c>
      <c r="B129" s="15">
        <v>118</v>
      </c>
      <c r="C129" s="15">
        <v>1</v>
      </c>
      <c r="D129" s="15">
        <v>1</v>
      </c>
    </row>
    <row r="130" spans="1:4" x14ac:dyDescent="0.25">
      <c r="A130" s="15">
        <v>113</v>
      </c>
      <c r="B130" s="15">
        <v>118</v>
      </c>
      <c r="C130" s="15">
        <v>1</v>
      </c>
      <c r="D130" s="15">
        <v>1</v>
      </c>
    </row>
    <row r="131" spans="1:4" x14ac:dyDescent="0.25">
      <c r="A131" s="15">
        <v>114</v>
      </c>
      <c r="B131" s="15">
        <v>118</v>
      </c>
      <c r="C131" s="15">
        <v>1</v>
      </c>
      <c r="D131" s="15">
        <v>1</v>
      </c>
    </row>
    <row r="132" spans="1:4" x14ac:dyDescent="0.25">
      <c r="A132" s="15">
        <v>115</v>
      </c>
      <c r="B132" s="15">
        <v>118</v>
      </c>
      <c r="C132" s="15">
        <v>1</v>
      </c>
      <c r="D132" s="15">
        <v>1</v>
      </c>
    </row>
    <row r="133" spans="1:4" x14ac:dyDescent="0.25">
      <c r="A133" s="15">
        <v>116</v>
      </c>
      <c r="B133" s="15">
        <v>118</v>
      </c>
      <c r="C133" s="15">
        <v>1</v>
      </c>
      <c r="D133" s="15">
        <v>1</v>
      </c>
    </row>
    <row r="134" spans="1:4" x14ac:dyDescent="0.25">
      <c r="A134" s="15">
        <v>117</v>
      </c>
      <c r="B134" s="15">
        <v>118</v>
      </c>
      <c r="C134" s="15">
        <v>1</v>
      </c>
      <c r="D134" s="15">
        <v>1</v>
      </c>
    </row>
    <row r="135" spans="1:4" x14ac:dyDescent="0.25">
      <c r="A135" s="15">
        <v>118</v>
      </c>
      <c r="B135" s="15">
        <v>118</v>
      </c>
      <c r="C135" s="15">
        <v>1</v>
      </c>
      <c r="D135" s="15">
        <v>1</v>
      </c>
    </row>
    <row r="136" spans="1:4" x14ac:dyDescent="0.25">
      <c r="A136" s="15">
        <v>119</v>
      </c>
      <c r="B136" s="15">
        <v>118</v>
      </c>
      <c r="C136" s="15">
        <v>1</v>
      </c>
      <c r="D136" s="15">
        <v>1</v>
      </c>
    </row>
    <row r="137" spans="1:4" x14ac:dyDescent="0.25">
      <c r="A137" s="15">
        <v>120</v>
      </c>
      <c r="B137" s="15">
        <v>118</v>
      </c>
      <c r="C137" s="15">
        <v>1</v>
      </c>
      <c r="D137" s="15">
        <v>1</v>
      </c>
    </row>
    <row r="138" spans="1:4" x14ac:dyDescent="0.25">
      <c r="A138" s="15">
        <v>121</v>
      </c>
      <c r="B138" s="15">
        <v>118</v>
      </c>
      <c r="C138" s="15">
        <v>1</v>
      </c>
      <c r="D138" s="15">
        <v>1</v>
      </c>
    </row>
    <row r="139" spans="1:4" x14ac:dyDescent="0.25">
      <c r="A139" s="15">
        <v>122</v>
      </c>
      <c r="B139" s="15">
        <v>118</v>
      </c>
      <c r="C139" s="15">
        <v>1</v>
      </c>
      <c r="D139" s="15">
        <v>1</v>
      </c>
    </row>
    <row r="140" spans="1:4" x14ac:dyDescent="0.25">
      <c r="A140" s="15">
        <v>123</v>
      </c>
      <c r="B140" s="15">
        <v>118</v>
      </c>
      <c r="C140" s="15">
        <v>1</v>
      </c>
      <c r="D140" s="15">
        <v>1</v>
      </c>
    </row>
    <row r="141" spans="1:4" x14ac:dyDescent="0.25">
      <c r="A141" s="15">
        <v>124</v>
      </c>
      <c r="B141" s="15">
        <v>118</v>
      </c>
      <c r="C141" s="15">
        <v>1</v>
      </c>
      <c r="D141" s="15">
        <v>1</v>
      </c>
    </row>
    <row r="142" spans="1:4" x14ac:dyDescent="0.25">
      <c r="A142" s="15">
        <v>125</v>
      </c>
      <c r="B142" s="15">
        <v>118</v>
      </c>
      <c r="C142" s="15">
        <v>1</v>
      </c>
      <c r="D142" s="15">
        <v>1</v>
      </c>
    </row>
    <row r="143" spans="1:4" x14ac:dyDescent="0.25">
      <c r="A143" s="15">
        <v>126</v>
      </c>
      <c r="B143" s="15">
        <v>118</v>
      </c>
      <c r="C143" s="15">
        <v>1</v>
      </c>
      <c r="D143" s="15">
        <v>1</v>
      </c>
    </row>
    <row r="144" spans="1:4" x14ac:dyDescent="0.25">
      <c r="A144" s="15">
        <v>127</v>
      </c>
      <c r="B144" s="15">
        <v>118</v>
      </c>
      <c r="C144" s="15">
        <v>1</v>
      </c>
      <c r="D144" s="15">
        <v>1</v>
      </c>
    </row>
    <row r="145" spans="1:4" x14ac:dyDescent="0.25">
      <c r="A145" s="15">
        <v>128</v>
      </c>
      <c r="B145" s="15">
        <v>118</v>
      </c>
      <c r="C145" s="15">
        <v>1</v>
      </c>
      <c r="D145" s="15">
        <v>1</v>
      </c>
    </row>
    <row r="146" spans="1:4" x14ac:dyDescent="0.25">
      <c r="A146" s="15">
        <v>129</v>
      </c>
      <c r="B146" s="15">
        <v>118</v>
      </c>
      <c r="C146" s="15">
        <v>1</v>
      </c>
      <c r="D146" s="15">
        <v>1</v>
      </c>
    </row>
    <row r="147" spans="1:4" x14ac:dyDescent="0.25">
      <c r="A147" s="15">
        <v>130</v>
      </c>
      <c r="B147" s="15">
        <v>118</v>
      </c>
      <c r="C147" s="15">
        <v>1</v>
      </c>
      <c r="D147" s="15">
        <v>1</v>
      </c>
    </row>
    <row r="148" spans="1:4" x14ac:dyDescent="0.25">
      <c r="A148" s="15">
        <v>131</v>
      </c>
      <c r="B148" s="15">
        <v>118</v>
      </c>
      <c r="C148" s="15">
        <v>1</v>
      </c>
      <c r="D148" s="15">
        <v>1</v>
      </c>
    </row>
    <row r="149" spans="1:4" x14ac:dyDescent="0.25">
      <c r="A149" s="15">
        <v>132</v>
      </c>
      <c r="B149" s="15">
        <v>118</v>
      </c>
      <c r="C149" s="15">
        <v>1</v>
      </c>
      <c r="D149" s="15">
        <v>1</v>
      </c>
    </row>
    <row r="150" spans="1:4" x14ac:dyDescent="0.25">
      <c r="A150" s="15">
        <v>133</v>
      </c>
      <c r="B150" s="15">
        <v>118</v>
      </c>
      <c r="C150" s="15">
        <v>1</v>
      </c>
      <c r="D150" s="15">
        <v>1</v>
      </c>
    </row>
    <row r="151" spans="1:4" x14ac:dyDescent="0.25">
      <c r="A151" s="15">
        <v>134</v>
      </c>
      <c r="B151" s="15">
        <v>118</v>
      </c>
      <c r="C151" s="15">
        <v>1</v>
      </c>
      <c r="D151" s="15">
        <v>1</v>
      </c>
    </row>
    <row r="152" spans="1:4" x14ac:dyDescent="0.25">
      <c r="A152" s="15">
        <v>135</v>
      </c>
      <c r="B152" s="15">
        <v>118</v>
      </c>
      <c r="C152" s="15">
        <v>1</v>
      </c>
      <c r="D152" s="15">
        <v>1</v>
      </c>
    </row>
    <row r="153" spans="1:4" x14ac:dyDescent="0.25">
      <c r="A153" s="15">
        <v>136</v>
      </c>
      <c r="B153" s="15">
        <v>118</v>
      </c>
      <c r="C153" s="15">
        <v>1</v>
      </c>
      <c r="D153" s="15">
        <v>1</v>
      </c>
    </row>
    <row r="154" spans="1:4" x14ac:dyDescent="0.25">
      <c r="A154" s="15">
        <v>137</v>
      </c>
      <c r="B154" s="15">
        <v>118</v>
      </c>
      <c r="C154" s="15">
        <v>1</v>
      </c>
      <c r="D154" s="15">
        <v>1</v>
      </c>
    </row>
    <row r="155" spans="1:4" x14ac:dyDescent="0.25">
      <c r="A155" s="15">
        <v>138</v>
      </c>
      <c r="B155" s="15">
        <v>118</v>
      </c>
      <c r="C155" s="15">
        <v>1</v>
      </c>
      <c r="D155" s="15">
        <v>1</v>
      </c>
    </row>
    <row r="156" spans="1:4" x14ac:dyDescent="0.25">
      <c r="A156" s="15">
        <v>139</v>
      </c>
      <c r="B156" s="15">
        <v>118</v>
      </c>
      <c r="C156" s="15">
        <v>1</v>
      </c>
      <c r="D156" s="15">
        <v>1</v>
      </c>
    </row>
    <row r="157" spans="1:4" x14ac:dyDescent="0.25">
      <c r="A157" s="15">
        <v>140</v>
      </c>
      <c r="B157" s="15">
        <v>118</v>
      </c>
      <c r="C157" s="15">
        <v>1</v>
      </c>
      <c r="D157" s="15">
        <v>1</v>
      </c>
    </row>
    <row r="158" spans="1:4" x14ac:dyDescent="0.25">
      <c r="A158" s="15">
        <v>141</v>
      </c>
      <c r="B158" s="15">
        <v>118</v>
      </c>
      <c r="C158" s="15">
        <v>1</v>
      </c>
      <c r="D158" s="15">
        <v>1</v>
      </c>
    </row>
    <row r="159" spans="1:4" x14ac:dyDescent="0.25">
      <c r="A159" s="15">
        <v>142</v>
      </c>
      <c r="B159" s="15">
        <v>118</v>
      </c>
      <c r="C159" s="15">
        <v>1</v>
      </c>
      <c r="D159" s="15">
        <v>1</v>
      </c>
    </row>
    <row r="160" spans="1:4" x14ac:dyDescent="0.25">
      <c r="A160" s="15">
        <v>143</v>
      </c>
      <c r="B160" s="15">
        <v>118</v>
      </c>
      <c r="C160" s="15">
        <v>1</v>
      </c>
      <c r="D160" s="15">
        <v>1</v>
      </c>
    </row>
    <row r="161" spans="1:4" x14ac:dyDescent="0.25">
      <c r="A161" s="15">
        <v>144</v>
      </c>
      <c r="B161" s="15">
        <v>118</v>
      </c>
      <c r="C161" s="15">
        <v>1</v>
      </c>
      <c r="D161" s="15">
        <v>1</v>
      </c>
    </row>
    <row r="162" spans="1:4" x14ac:dyDescent="0.25">
      <c r="A162" s="15">
        <v>145</v>
      </c>
      <c r="B162" s="15">
        <v>118</v>
      </c>
      <c r="C162" s="15">
        <v>1</v>
      </c>
      <c r="D162" s="15">
        <v>1</v>
      </c>
    </row>
    <row r="163" spans="1:4" x14ac:dyDescent="0.25">
      <c r="A163" s="15">
        <v>146</v>
      </c>
      <c r="B163" s="15">
        <v>118</v>
      </c>
      <c r="C163" s="15">
        <v>1</v>
      </c>
      <c r="D163" s="15">
        <v>1</v>
      </c>
    </row>
    <row r="164" spans="1:4" x14ac:dyDescent="0.25">
      <c r="A164" s="15">
        <v>147</v>
      </c>
      <c r="B164" s="15">
        <v>118</v>
      </c>
      <c r="C164" s="15">
        <v>1</v>
      </c>
      <c r="D164" s="15">
        <v>1</v>
      </c>
    </row>
    <row r="165" spans="1:4" x14ac:dyDescent="0.25">
      <c r="A165" s="15">
        <v>148</v>
      </c>
      <c r="B165" s="15">
        <v>118</v>
      </c>
      <c r="C165" s="15">
        <v>1</v>
      </c>
      <c r="D165" s="15">
        <v>1</v>
      </c>
    </row>
    <row r="166" spans="1:4" x14ac:dyDescent="0.25">
      <c r="A166" s="15">
        <v>149</v>
      </c>
      <c r="B166" s="15">
        <v>118</v>
      </c>
      <c r="C166" s="15">
        <v>1</v>
      </c>
      <c r="D166" s="15">
        <v>1</v>
      </c>
    </row>
    <row r="167" spans="1:4" x14ac:dyDescent="0.25">
      <c r="A167" s="15">
        <v>150</v>
      </c>
      <c r="B167" s="15">
        <v>118</v>
      </c>
      <c r="C167" s="15">
        <v>1</v>
      </c>
      <c r="D167" s="15">
        <v>1</v>
      </c>
    </row>
    <row r="168" spans="1:4" x14ac:dyDescent="0.25">
      <c r="A168" s="15">
        <v>151</v>
      </c>
      <c r="B168" s="15">
        <v>118</v>
      </c>
      <c r="C168" s="15">
        <v>1</v>
      </c>
      <c r="D168" s="15">
        <v>1</v>
      </c>
    </row>
    <row r="169" spans="1:4" x14ac:dyDescent="0.25">
      <c r="A169" s="15">
        <v>152</v>
      </c>
      <c r="B169" s="15">
        <v>118</v>
      </c>
      <c r="C169" s="15">
        <v>1</v>
      </c>
      <c r="D169" s="15">
        <v>1</v>
      </c>
    </row>
    <row r="170" spans="1:4" x14ac:dyDescent="0.25">
      <c r="A170" s="15">
        <v>153</v>
      </c>
      <c r="B170" s="15">
        <v>118</v>
      </c>
      <c r="C170" s="15">
        <v>1</v>
      </c>
      <c r="D170" s="15">
        <v>1</v>
      </c>
    </row>
    <row r="171" spans="1:4" x14ac:dyDescent="0.25">
      <c r="A171" s="15">
        <v>154</v>
      </c>
      <c r="B171" s="15">
        <v>118</v>
      </c>
      <c r="C171" s="15">
        <v>1</v>
      </c>
      <c r="D171" s="15">
        <v>1</v>
      </c>
    </row>
    <row r="172" spans="1:4" x14ac:dyDescent="0.25">
      <c r="A172" s="15">
        <v>155</v>
      </c>
      <c r="B172" s="15">
        <v>118</v>
      </c>
      <c r="C172" s="15">
        <v>1</v>
      </c>
      <c r="D172" s="15">
        <v>1</v>
      </c>
    </row>
    <row r="173" spans="1:4" x14ac:dyDescent="0.25">
      <c r="A173" s="15">
        <v>156</v>
      </c>
      <c r="B173" s="15">
        <v>118</v>
      </c>
      <c r="C173" s="15">
        <v>1</v>
      </c>
      <c r="D173" s="15">
        <v>1</v>
      </c>
    </row>
    <row r="174" spans="1:4" x14ac:dyDescent="0.25">
      <c r="A174" s="15">
        <v>157</v>
      </c>
      <c r="B174" s="15">
        <v>118</v>
      </c>
      <c r="C174" s="15">
        <v>1</v>
      </c>
      <c r="D174" s="15">
        <v>1</v>
      </c>
    </row>
    <row r="175" spans="1:4" x14ac:dyDescent="0.25">
      <c r="A175" s="15">
        <v>158</v>
      </c>
      <c r="B175" s="15">
        <v>118</v>
      </c>
      <c r="C175" s="15">
        <v>1</v>
      </c>
      <c r="D175" s="15">
        <v>1</v>
      </c>
    </row>
    <row r="176" spans="1:4" x14ac:dyDescent="0.25">
      <c r="A176" s="15">
        <v>159</v>
      </c>
      <c r="B176" s="15">
        <v>118</v>
      </c>
      <c r="C176" s="15">
        <v>1</v>
      </c>
      <c r="D176" s="15">
        <v>1</v>
      </c>
    </row>
    <row r="177" spans="1:4" x14ac:dyDescent="0.25">
      <c r="A177" s="15">
        <v>160</v>
      </c>
      <c r="B177" s="15">
        <v>118</v>
      </c>
      <c r="C177" s="15">
        <v>1</v>
      </c>
      <c r="D177" s="15">
        <v>1</v>
      </c>
    </row>
    <row r="178" spans="1:4" x14ac:dyDescent="0.25">
      <c r="A178" s="15">
        <v>161</v>
      </c>
      <c r="B178" s="15">
        <v>118</v>
      </c>
      <c r="C178" s="15">
        <v>1</v>
      </c>
      <c r="D178" s="15">
        <v>1</v>
      </c>
    </row>
    <row r="179" spans="1:4" x14ac:dyDescent="0.25">
      <c r="A179" s="15">
        <v>162</v>
      </c>
      <c r="B179" s="15">
        <v>118</v>
      </c>
      <c r="C179" s="15">
        <v>1</v>
      </c>
      <c r="D179" s="15">
        <v>1</v>
      </c>
    </row>
    <row r="180" spans="1:4" x14ac:dyDescent="0.25">
      <c r="A180" s="15">
        <v>163</v>
      </c>
      <c r="B180" s="15">
        <v>118</v>
      </c>
      <c r="C180" s="15">
        <v>1</v>
      </c>
      <c r="D180" s="15">
        <v>1</v>
      </c>
    </row>
    <row r="181" spans="1:4" x14ac:dyDescent="0.25">
      <c r="A181" s="15">
        <v>164</v>
      </c>
      <c r="B181" s="15">
        <v>118</v>
      </c>
      <c r="C181" s="15">
        <v>1</v>
      </c>
      <c r="D181" s="15">
        <v>1</v>
      </c>
    </row>
    <row r="182" spans="1:4" x14ac:dyDescent="0.25">
      <c r="A182" s="15">
        <v>165</v>
      </c>
      <c r="B182" s="15">
        <v>118</v>
      </c>
      <c r="C182" s="15">
        <v>1</v>
      </c>
      <c r="D182" s="15">
        <v>1</v>
      </c>
    </row>
    <row r="183" spans="1:4" x14ac:dyDescent="0.25">
      <c r="A183" s="15">
        <v>166</v>
      </c>
      <c r="B183" s="15">
        <v>118</v>
      </c>
      <c r="C183" s="15">
        <v>1</v>
      </c>
      <c r="D183" s="15">
        <v>1</v>
      </c>
    </row>
    <row r="184" spans="1:4" x14ac:dyDescent="0.25">
      <c r="A184" s="15">
        <v>167</v>
      </c>
      <c r="B184" s="15">
        <v>118</v>
      </c>
      <c r="C184" s="15">
        <v>1</v>
      </c>
      <c r="D184" s="15">
        <v>1</v>
      </c>
    </row>
    <row r="185" spans="1:4" x14ac:dyDescent="0.25">
      <c r="A185" s="15">
        <v>168</v>
      </c>
      <c r="B185" s="15">
        <v>118</v>
      </c>
      <c r="C185" s="15">
        <v>1</v>
      </c>
      <c r="D185" s="15">
        <v>1</v>
      </c>
    </row>
    <row r="186" spans="1:4" x14ac:dyDescent="0.25">
      <c r="A186" s="15">
        <v>169</v>
      </c>
      <c r="B186" s="15">
        <v>118</v>
      </c>
      <c r="C186" s="15">
        <v>1</v>
      </c>
      <c r="D186" s="15">
        <v>1</v>
      </c>
    </row>
    <row r="187" spans="1:4" x14ac:dyDescent="0.25">
      <c r="A187" s="15">
        <v>170</v>
      </c>
      <c r="B187" s="15">
        <v>118</v>
      </c>
      <c r="C187" s="15">
        <v>1</v>
      </c>
      <c r="D187" s="15">
        <v>1</v>
      </c>
    </row>
    <row r="188" spans="1:4" x14ac:dyDescent="0.25">
      <c r="A188" s="15">
        <v>171</v>
      </c>
      <c r="B188" s="15">
        <v>118</v>
      </c>
      <c r="C188" s="15">
        <v>1</v>
      </c>
      <c r="D188" s="15">
        <v>1</v>
      </c>
    </row>
    <row r="189" spans="1:4" x14ac:dyDescent="0.25">
      <c r="A189" s="15">
        <v>172</v>
      </c>
      <c r="B189" s="15">
        <v>118</v>
      </c>
      <c r="C189" s="15">
        <v>1</v>
      </c>
      <c r="D189" s="15">
        <v>1</v>
      </c>
    </row>
    <row r="190" spans="1:4" x14ac:dyDescent="0.25">
      <c r="A190" s="15">
        <v>173</v>
      </c>
      <c r="B190" s="15">
        <v>118</v>
      </c>
      <c r="C190" s="15">
        <v>1</v>
      </c>
      <c r="D190" s="15">
        <v>1</v>
      </c>
    </row>
    <row r="191" spans="1:4" x14ac:dyDescent="0.25">
      <c r="A191" s="15">
        <v>174</v>
      </c>
      <c r="B191" s="15">
        <v>118</v>
      </c>
      <c r="C191" s="15">
        <v>1</v>
      </c>
      <c r="D191" s="15">
        <v>1</v>
      </c>
    </row>
    <row r="192" spans="1:4" x14ac:dyDescent="0.25">
      <c r="A192" s="15">
        <v>175</v>
      </c>
      <c r="B192" s="15">
        <v>118</v>
      </c>
      <c r="C192" s="15">
        <v>1</v>
      </c>
      <c r="D192" s="15">
        <v>1</v>
      </c>
    </row>
    <row r="193" spans="1:4" x14ac:dyDescent="0.25">
      <c r="A193" s="15">
        <v>176</v>
      </c>
      <c r="B193" s="15">
        <v>118</v>
      </c>
      <c r="C193" s="15">
        <v>1</v>
      </c>
      <c r="D193" s="15">
        <v>1</v>
      </c>
    </row>
    <row r="194" spans="1:4" x14ac:dyDescent="0.25">
      <c r="A194" s="15">
        <v>177</v>
      </c>
      <c r="B194" s="15">
        <v>118</v>
      </c>
      <c r="C194" s="15">
        <v>1</v>
      </c>
      <c r="D194" s="15">
        <v>1</v>
      </c>
    </row>
    <row r="195" spans="1:4" x14ac:dyDescent="0.25">
      <c r="A195" s="15">
        <v>178</v>
      </c>
      <c r="B195" s="15">
        <v>118</v>
      </c>
      <c r="C195" s="15">
        <v>1</v>
      </c>
      <c r="D195" s="15">
        <v>1</v>
      </c>
    </row>
    <row r="196" spans="1:4" x14ac:dyDescent="0.25">
      <c r="A196" s="15">
        <v>179</v>
      </c>
      <c r="B196" s="15">
        <v>118</v>
      </c>
      <c r="C196" s="15">
        <v>1</v>
      </c>
      <c r="D196" s="15">
        <v>1</v>
      </c>
    </row>
    <row r="197" spans="1:4" x14ac:dyDescent="0.25">
      <c r="A197" s="15">
        <v>180</v>
      </c>
      <c r="B197" s="15">
        <v>118</v>
      </c>
      <c r="C197" s="15">
        <v>1</v>
      </c>
      <c r="D197" s="15">
        <v>1</v>
      </c>
    </row>
    <row r="198" spans="1:4" x14ac:dyDescent="0.25">
      <c r="A198" s="15">
        <v>181</v>
      </c>
      <c r="B198" s="15">
        <v>118</v>
      </c>
      <c r="C198" s="15">
        <v>1</v>
      </c>
      <c r="D198" s="15">
        <v>1</v>
      </c>
    </row>
    <row r="199" spans="1:4" x14ac:dyDescent="0.25">
      <c r="A199" s="15">
        <v>182</v>
      </c>
      <c r="B199" s="15">
        <v>118</v>
      </c>
      <c r="C199" s="15">
        <v>1</v>
      </c>
      <c r="D199" s="15">
        <v>1</v>
      </c>
    </row>
    <row r="200" spans="1:4" x14ac:dyDescent="0.25">
      <c r="A200" s="15">
        <v>183</v>
      </c>
      <c r="B200" s="15">
        <v>118</v>
      </c>
      <c r="C200" s="15">
        <v>1</v>
      </c>
      <c r="D200" s="15">
        <v>1</v>
      </c>
    </row>
    <row r="201" spans="1:4" x14ac:dyDescent="0.25">
      <c r="A201" s="15">
        <v>184</v>
      </c>
      <c r="B201" s="15">
        <v>118</v>
      </c>
      <c r="C201" s="15">
        <v>1</v>
      </c>
      <c r="D201" s="15">
        <v>1</v>
      </c>
    </row>
    <row r="202" spans="1:4" x14ac:dyDescent="0.25">
      <c r="A202" s="15">
        <v>185</v>
      </c>
      <c r="B202" s="15">
        <v>118</v>
      </c>
      <c r="C202" s="15">
        <v>1</v>
      </c>
      <c r="D202" s="15">
        <v>1</v>
      </c>
    </row>
    <row r="203" spans="1:4" x14ac:dyDescent="0.25">
      <c r="A203" s="15">
        <v>186</v>
      </c>
      <c r="B203" s="15">
        <v>118</v>
      </c>
      <c r="C203" s="15">
        <v>1</v>
      </c>
      <c r="D203" s="15">
        <v>1</v>
      </c>
    </row>
    <row r="204" spans="1:4" x14ac:dyDescent="0.25">
      <c r="A204" s="15">
        <v>187</v>
      </c>
      <c r="B204" s="15">
        <v>118</v>
      </c>
      <c r="C204" s="15">
        <v>1</v>
      </c>
      <c r="D204" s="15">
        <v>1</v>
      </c>
    </row>
    <row r="205" spans="1:4" x14ac:dyDescent="0.25">
      <c r="A205" s="15">
        <v>188</v>
      </c>
      <c r="B205" s="15">
        <v>118</v>
      </c>
      <c r="C205" s="15">
        <v>1</v>
      </c>
      <c r="D205" s="15">
        <v>1</v>
      </c>
    </row>
    <row r="206" spans="1:4" x14ac:dyDescent="0.25">
      <c r="A206" s="15">
        <v>189</v>
      </c>
      <c r="B206" s="15">
        <v>118</v>
      </c>
      <c r="C206" s="15">
        <v>1</v>
      </c>
      <c r="D206" s="15">
        <v>1</v>
      </c>
    </row>
    <row r="207" spans="1:4" x14ac:dyDescent="0.25">
      <c r="A207" s="15">
        <v>190</v>
      </c>
      <c r="B207" s="15">
        <v>118</v>
      </c>
      <c r="C207" s="15">
        <v>1</v>
      </c>
      <c r="D207" s="15">
        <v>1</v>
      </c>
    </row>
    <row r="208" spans="1:4" x14ac:dyDescent="0.25">
      <c r="A208" s="15">
        <v>191</v>
      </c>
      <c r="B208" s="15">
        <v>118</v>
      </c>
      <c r="C208" s="15">
        <v>1</v>
      </c>
      <c r="D208" s="15">
        <v>1</v>
      </c>
    </row>
    <row r="209" spans="1:4" x14ac:dyDescent="0.25">
      <c r="A209" s="15">
        <v>192</v>
      </c>
      <c r="B209" s="15">
        <v>118</v>
      </c>
      <c r="C209" s="15">
        <v>1</v>
      </c>
      <c r="D209" s="15">
        <v>1</v>
      </c>
    </row>
    <row r="210" spans="1:4" x14ac:dyDescent="0.25">
      <c r="A210" s="15">
        <v>193</v>
      </c>
      <c r="B210" s="15">
        <v>118</v>
      </c>
      <c r="C210" s="15">
        <v>1</v>
      </c>
      <c r="D210" s="15">
        <v>1</v>
      </c>
    </row>
    <row r="211" spans="1:4" x14ac:dyDescent="0.25">
      <c r="A211" s="15">
        <v>194</v>
      </c>
      <c r="B211" s="15">
        <v>118</v>
      </c>
      <c r="C211" s="15">
        <v>1</v>
      </c>
      <c r="D211" s="15">
        <v>1</v>
      </c>
    </row>
    <row r="212" spans="1:4" x14ac:dyDescent="0.25">
      <c r="A212" s="15">
        <v>195</v>
      </c>
      <c r="B212" s="15">
        <v>118</v>
      </c>
      <c r="C212" s="15">
        <v>1</v>
      </c>
      <c r="D212" s="15">
        <v>1</v>
      </c>
    </row>
    <row r="213" spans="1:4" x14ac:dyDescent="0.25">
      <c r="A213" s="15">
        <v>196</v>
      </c>
      <c r="B213" s="15">
        <v>118</v>
      </c>
      <c r="C213" s="15">
        <v>1</v>
      </c>
      <c r="D213" s="15">
        <v>1</v>
      </c>
    </row>
    <row r="214" spans="1:4" x14ac:dyDescent="0.25">
      <c r="A214" s="15">
        <v>197</v>
      </c>
      <c r="B214" s="15">
        <v>118</v>
      </c>
      <c r="C214" s="15">
        <v>1</v>
      </c>
      <c r="D214" s="15">
        <v>1</v>
      </c>
    </row>
    <row r="215" spans="1:4" x14ac:dyDescent="0.25">
      <c r="A215" s="15">
        <v>198</v>
      </c>
      <c r="B215" s="15">
        <v>118</v>
      </c>
      <c r="C215" s="15">
        <v>1</v>
      </c>
      <c r="D215" s="15">
        <v>1</v>
      </c>
    </row>
    <row r="216" spans="1:4" x14ac:dyDescent="0.25">
      <c r="A216" s="15">
        <v>199</v>
      </c>
      <c r="B216" s="15">
        <v>118</v>
      </c>
      <c r="C216" s="15">
        <v>1</v>
      </c>
      <c r="D216" s="15">
        <v>1</v>
      </c>
    </row>
    <row r="217" spans="1:4" x14ac:dyDescent="0.25">
      <c r="A217" s="15">
        <v>200</v>
      </c>
      <c r="B217" s="15">
        <v>118</v>
      </c>
      <c r="C217" s="15">
        <v>1</v>
      </c>
      <c r="D217" s="15">
        <v>1</v>
      </c>
    </row>
    <row r="218" spans="1:4" x14ac:dyDescent="0.25">
      <c r="A218" s="15">
        <v>201</v>
      </c>
      <c r="B218" s="15">
        <v>118</v>
      </c>
      <c r="C218" s="15">
        <v>1</v>
      </c>
      <c r="D218" s="15">
        <v>1</v>
      </c>
    </row>
    <row r="219" spans="1:4" x14ac:dyDescent="0.25">
      <c r="A219" s="15">
        <v>202</v>
      </c>
      <c r="B219" s="15">
        <v>118</v>
      </c>
      <c r="C219" s="15">
        <v>1</v>
      </c>
      <c r="D219" s="15">
        <v>1</v>
      </c>
    </row>
    <row r="220" spans="1:4" x14ac:dyDescent="0.25">
      <c r="A220" s="15">
        <v>203</v>
      </c>
      <c r="B220" s="15">
        <v>118</v>
      </c>
      <c r="C220" s="15">
        <v>1</v>
      </c>
      <c r="D220" s="15">
        <v>1</v>
      </c>
    </row>
    <row r="221" spans="1:4" x14ac:dyDescent="0.25">
      <c r="A221" s="15">
        <v>204</v>
      </c>
      <c r="B221" s="15">
        <v>118</v>
      </c>
      <c r="C221" s="15">
        <v>1</v>
      </c>
      <c r="D221" s="15">
        <v>1</v>
      </c>
    </row>
    <row r="222" spans="1:4" x14ac:dyDescent="0.25">
      <c r="A222" s="15">
        <v>205</v>
      </c>
      <c r="B222" s="15">
        <v>118</v>
      </c>
      <c r="C222" s="15">
        <v>1</v>
      </c>
      <c r="D222" s="15">
        <v>1</v>
      </c>
    </row>
    <row r="223" spans="1:4" x14ac:dyDescent="0.25">
      <c r="A223" s="15">
        <v>206</v>
      </c>
      <c r="B223" s="15">
        <v>118</v>
      </c>
      <c r="C223" s="15">
        <v>1</v>
      </c>
      <c r="D223" s="15">
        <v>1</v>
      </c>
    </row>
    <row r="224" spans="1:4" x14ac:dyDescent="0.25">
      <c r="A224" s="15">
        <v>207</v>
      </c>
      <c r="B224" s="15">
        <v>118</v>
      </c>
      <c r="C224" s="15">
        <v>1</v>
      </c>
      <c r="D224" s="15">
        <v>1</v>
      </c>
    </row>
    <row r="225" spans="1:4" x14ac:dyDescent="0.25">
      <c r="A225" s="15">
        <v>208</v>
      </c>
      <c r="B225" s="15">
        <v>118</v>
      </c>
      <c r="C225" s="15">
        <v>1</v>
      </c>
      <c r="D225" s="15">
        <v>1</v>
      </c>
    </row>
    <row r="226" spans="1:4" x14ac:dyDescent="0.25">
      <c r="A226" s="15">
        <v>209</v>
      </c>
      <c r="B226" s="15">
        <v>118</v>
      </c>
      <c r="C226" s="15">
        <v>1</v>
      </c>
      <c r="D226" s="15">
        <v>1</v>
      </c>
    </row>
    <row r="227" spans="1:4" x14ac:dyDescent="0.25">
      <c r="A227" s="15">
        <v>210</v>
      </c>
      <c r="B227" s="15">
        <v>118</v>
      </c>
      <c r="C227" s="15">
        <v>1</v>
      </c>
      <c r="D227" s="15">
        <v>1</v>
      </c>
    </row>
    <row r="228" spans="1:4" x14ac:dyDescent="0.25">
      <c r="A228" s="15">
        <v>211</v>
      </c>
      <c r="B228" s="15">
        <v>118</v>
      </c>
      <c r="C228" s="15">
        <v>1</v>
      </c>
      <c r="D228" s="15">
        <v>1</v>
      </c>
    </row>
    <row r="229" spans="1:4" x14ac:dyDescent="0.25">
      <c r="A229" s="15">
        <v>212</v>
      </c>
      <c r="B229" s="15">
        <v>118</v>
      </c>
      <c r="C229" s="15">
        <v>1</v>
      </c>
      <c r="D229" s="15">
        <v>1</v>
      </c>
    </row>
    <row r="230" spans="1:4" x14ac:dyDescent="0.25">
      <c r="A230" s="15">
        <v>213</v>
      </c>
      <c r="B230" s="15">
        <v>118</v>
      </c>
      <c r="C230" s="15">
        <v>1</v>
      </c>
      <c r="D230" s="15">
        <v>1</v>
      </c>
    </row>
    <row r="231" spans="1:4" x14ac:dyDescent="0.25">
      <c r="A231" s="15">
        <v>214</v>
      </c>
      <c r="B231" s="15">
        <v>118</v>
      </c>
      <c r="C231" s="15">
        <v>1</v>
      </c>
      <c r="D231" s="15">
        <v>1</v>
      </c>
    </row>
    <row r="232" spans="1:4" x14ac:dyDescent="0.25">
      <c r="A232" s="15">
        <v>215</v>
      </c>
      <c r="B232" s="15">
        <v>118</v>
      </c>
      <c r="C232" s="15">
        <v>1</v>
      </c>
      <c r="D232" s="15">
        <v>1</v>
      </c>
    </row>
    <row r="233" spans="1:4" x14ac:dyDescent="0.25">
      <c r="A233" s="15">
        <v>216</v>
      </c>
      <c r="B233" s="15">
        <v>118</v>
      </c>
      <c r="C233" s="15">
        <v>1</v>
      </c>
      <c r="D233" s="15">
        <v>1</v>
      </c>
    </row>
    <row r="234" spans="1:4" x14ac:dyDescent="0.25">
      <c r="A234" s="15">
        <v>217</v>
      </c>
      <c r="B234" s="15">
        <v>118</v>
      </c>
      <c r="C234" s="15">
        <v>1</v>
      </c>
      <c r="D234" s="15">
        <v>1</v>
      </c>
    </row>
    <row r="235" spans="1:4" x14ac:dyDescent="0.25">
      <c r="A235" s="15">
        <v>218</v>
      </c>
      <c r="B235" s="15">
        <v>118</v>
      </c>
      <c r="C235" s="15">
        <v>1</v>
      </c>
      <c r="D235" s="15">
        <v>1</v>
      </c>
    </row>
    <row r="236" spans="1:4" x14ac:dyDescent="0.25">
      <c r="A236" s="15">
        <v>219</v>
      </c>
      <c r="B236" s="15">
        <v>118</v>
      </c>
      <c r="C236" s="15">
        <v>1</v>
      </c>
      <c r="D236" s="15">
        <v>1</v>
      </c>
    </row>
    <row r="237" spans="1:4" x14ac:dyDescent="0.25">
      <c r="A237" s="15">
        <v>220</v>
      </c>
      <c r="B237" s="15">
        <v>118</v>
      </c>
      <c r="C237" s="15">
        <v>1</v>
      </c>
      <c r="D237" s="15">
        <v>1</v>
      </c>
    </row>
    <row r="238" spans="1:4" x14ac:dyDescent="0.25">
      <c r="A238" s="15">
        <v>221</v>
      </c>
      <c r="B238" s="15">
        <v>118</v>
      </c>
      <c r="C238" s="15">
        <v>1</v>
      </c>
      <c r="D238" s="15">
        <v>1</v>
      </c>
    </row>
    <row r="239" spans="1:4" x14ac:dyDescent="0.25">
      <c r="A239" s="15">
        <v>222</v>
      </c>
      <c r="B239" s="15">
        <v>118</v>
      </c>
      <c r="C239" s="15">
        <v>1</v>
      </c>
      <c r="D239" s="15">
        <v>1</v>
      </c>
    </row>
    <row r="240" spans="1:4" x14ac:dyDescent="0.25">
      <c r="A240" s="15">
        <v>223</v>
      </c>
      <c r="B240" s="15">
        <v>118</v>
      </c>
      <c r="C240" s="15">
        <v>1</v>
      </c>
      <c r="D240" s="15">
        <v>1</v>
      </c>
    </row>
    <row r="241" spans="1:4" x14ac:dyDescent="0.25">
      <c r="A241" s="15">
        <v>224</v>
      </c>
      <c r="B241" s="15">
        <v>118</v>
      </c>
      <c r="C241" s="15">
        <v>1</v>
      </c>
      <c r="D241" s="15">
        <v>1</v>
      </c>
    </row>
    <row r="242" spans="1:4" x14ac:dyDescent="0.25">
      <c r="A242" s="15">
        <v>225</v>
      </c>
      <c r="B242" s="15">
        <v>118</v>
      </c>
      <c r="C242" s="15">
        <v>1</v>
      </c>
      <c r="D242" s="15">
        <v>1</v>
      </c>
    </row>
    <row r="243" spans="1:4" x14ac:dyDescent="0.25">
      <c r="A243" s="15">
        <v>226</v>
      </c>
      <c r="B243" s="15">
        <v>118</v>
      </c>
      <c r="C243" s="15">
        <v>1</v>
      </c>
      <c r="D243" s="15">
        <v>1</v>
      </c>
    </row>
    <row r="244" spans="1:4" x14ac:dyDescent="0.25">
      <c r="A244" s="15">
        <v>227</v>
      </c>
      <c r="B244" s="15">
        <v>118</v>
      </c>
      <c r="C244" s="15">
        <v>1</v>
      </c>
      <c r="D244" s="15">
        <v>1</v>
      </c>
    </row>
    <row r="245" spans="1:4" x14ac:dyDescent="0.25">
      <c r="A245" s="15">
        <v>228</v>
      </c>
      <c r="B245" s="15">
        <v>118</v>
      </c>
      <c r="C245" s="15">
        <v>1</v>
      </c>
      <c r="D245" s="15">
        <v>1</v>
      </c>
    </row>
    <row r="246" spans="1:4" x14ac:dyDescent="0.25">
      <c r="A246" s="15">
        <v>229</v>
      </c>
      <c r="B246" s="15">
        <v>118</v>
      </c>
      <c r="C246" s="15">
        <v>1</v>
      </c>
      <c r="D246" s="15">
        <v>1</v>
      </c>
    </row>
    <row r="247" spans="1:4" x14ac:dyDescent="0.25">
      <c r="A247" s="15">
        <v>230</v>
      </c>
      <c r="B247" s="15">
        <v>118</v>
      </c>
      <c r="C247" s="15">
        <v>1</v>
      </c>
      <c r="D247" s="15">
        <v>1</v>
      </c>
    </row>
    <row r="248" spans="1:4" x14ac:dyDescent="0.25">
      <c r="A248" s="15">
        <v>231</v>
      </c>
      <c r="B248" s="15">
        <v>118</v>
      </c>
      <c r="C248" s="15">
        <v>1</v>
      </c>
      <c r="D248" s="15">
        <v>1</v>
      </c>
    </row>
    <row r="249" spans="1:4" x14ac:dyDescent="0.25">
      <c r="A249" s="15">
        <v>232</v>
      </c>
      <c r="B249" s="15">
        <v>118</v>
      </c>
      <c r="C249" s="15">
        <v>1</v>
      </c>
      <c r="D249" s="15">
        <v>1</v>
      </c>
    </row>
    <row r="250" spans="1:4" x14ac:dyDescent="0.25">
      <c r="A250" s="15">
        <v>233</v>
      </c>
      <c r="B250" s="15">
        <v>118</v>
      </c>
      <c r="C250" s="15">
        <v>1</v>
      </c>
      <c r="D250" s="15">
        <v>1</v>
      </c>
    </row>
    <row r="251" spans="1:4" x14ac:dyDescent="0.25">
      <c r="A251" s="15">
        <v>234</v>
      </c>
      <c r="B251" s="15">
        <v>118</v>
      </c>
      <c r="C251" s="15">
        <v>1</v>
      </c>
      <c r="D251" s="15">
        <v>1</v>
      </c>
    </row>
    <row r="252" spans="1:4" x14ac:dyDescent="0.25">
      <c r="A252" s="15">
        <v>235</v>
      </c>
      <c r="B252" s="15">
        <v>118</v>
      </c>
      <c r="C252" s="15">
        <v>1</v>
      </c>
      <c r="D252" s="15">
        <v>1</v>
      </c>
    </row>
    <row r="253" spans="1:4" x14ac:dyDescent="0.25">
      <c r="A253" s="15">
        <v>236</v>
      </c>
      <c r="B253" s="15">
        <v>118</v>
      </c>
      <c r="C253" s="15">
        <v>1</v>
      </c>
      <c r="D253" s="15">
        <v>1</v>
      </c>
    </row>
    <row r="254" spans="1:4" x14ac:dyDescent="0.25">
      <c r="A254" s="15">
        <v>237</v>
      </c>
      <c r="B254" s="15">
        <v>118</v>
      </c>
      <c r="C254" s="15">
        <v>1</v>
      </c>
      <c r="D254" s="15">
        <v>1</v>
      </c>
    </row>
    <row r="255" spans="1:4" x14ac:dyDescent="0.25">
      <c r="A255" s="15">
        <v>238</v>
      </c>
      <c r="B255" s="15">
        <v>118</v>
      </c>
      <c r="C255" s="15">
        <v>1</v>
      </c>
      <c r="D255" s="15">
        <v>1</v>
      </c>
    </row>
    <row r="256" spans="1:4" x14ac:dyDescent="0.25">
      <c r="A256" s="15">
        <v>239</v>
      </c>
      <c r="B256" s="15">
        <v>118</v>
      </c>
      <c r="C256" s="15">
        <v>1</v>
      </c>
      <c r="D256" s="15">
        <v>1</v>
      </c>
    </row>
    <row r="257" spans="1:4" x14ac:dyDescent="0.25">
      <c r="A257" s="15">
        <v>240</v>
      </c>
      <c r="B257" s="15">
        <v>118</v>
      </c>
      <c r="C257" s="15">
        <v>1</v>
      </c>
      <c r="D257" s="15">
        <v>1</v>
      </c>
    </row>
    <row r="258" spans="1:4" x14ac:dyDescent="0.25">
      <c r="A258" s="15">
        <v>241</v>
      </c>
      <c r="B258" s="15">
        <v>118</v>
      </c>
      <c r="C258" s="15">
        <v>1</v>
      </c>
      <c r="D258" s="15">
        <v>1</v>
      </c>
    </row>
    <row r="259" spans="1:4" x14ac:dyDescent="0.25">
      <c r="A259" s="15">
        <v>242</v>
      </c>
      <c r="B259" s="15">
        <v>118</v>
      </c>
      <c r="C259" s="15">
        <v>1</v>
      </c>
      <c r="D259" s="15">
        <v>1</v>
      </c>
    </row>
    <row r="260" spans="1:4" x14ac:dyDescent="0.25">
      <c r="A260" s="15">
        <v>243</v>
      </c>
      <c r="B260" s="15">
        <v>118</v>
      </c>
      <c r="C260" s="15">
        <v>1</v>
      </c>
      <c r="D260" s="15">
        <v>1</v>
      </c>
    </row>
    <row r="261" spans="1:4" x14ac:dyDescent="0.25">
      <c r="A261" s="15">
        <v>244</v>
      </c>
      <c r="B261" s="15">
        <v>118</v>
      </c>
      <c r="C261" s="15">
        <v>1</v>
      </c>
      <c r="D261" s="15">
        <v>1</v>
      </c>
    </row>
    <row r="262" spans="1:4" x14ac:dyDescent="0.25">
      <c r="A262" s="15">
        <v>245</v>
      </c>
      <c r="B262" s="15">
        <v>118</v>
      </c>
      <c r="C262" s="15">
        <v>1</v>
      </c>
      <c r="D262" s="15">
        <v>1</v>
      </c>
    </row>
    <row r="263" spans="1:4" x14ac:dyDescent="0.25">
      <c r="A263" s="15">
        <v>246</v>
      </c>
      <c r="B263" s="15">
        <v>118</v>
      </c>
      <c r="C263" s="15">
        <v>1</v>
      </c>
      <c r="D263" s="15">
        <v>1</v>
      </c>
    </row>
    <row r="264" spans="1:4" x14ac:dyDescent="0.25">
      <c r="A264" s="15">
        <v>247</v>
      </c>
      <c r="B264" s="15">
        <v>118</v>
      </c>
      <c r="C264" s="15">
        <v>1</v>
      </c>
      <c r="D264" s="15">
        <v>1</v>
      </c>
    </row>
    <row r="265" spans="1:4" x14ac:dyDescent="0.25">
      <c r="A265" s="15">
        <v>248</v>
      </c>
      <c r="B265" s="15">
        <v>118</v>
      </c>
      <c r="C265" s="15">
        <v>1</v>
      </c>
      <c r="D265" s="15">
        <v>1</v>
      </c>
    </row>
    <row r="266" spans="1:4" x14ac:dyDescent="0.25">
      <c r="A266" s="15">
        <v>249</v>
      </c>
      <c r="B266" s="15">
        <v>118</v>
      </c>
      <c r="C266" s="15">
        <v>1</v>
      </c>
      <c r="D266" s="15">
        <v>1</v>
      </c>
    </row>
    <row r="267" spans="1:4" x14ac:dyDescent="0.25">
      <c r="A267" s="15">
        <v>250</v>
      </c>
      <c r="B267" s="15">
        <v>118</v>
      </c>
      <c r="C267" s="15">
        <v>1</v>
      </c>
      <c r="D267" s="15">
        <v>1</v>
      </c>
    </row>
    <row r="268" spans="1:4" x14ac:dyDescent="0.25">
      <c r="A268" s="15">
        <v>251</v>
      </c>
      <c r="B268" s="15">
        <v>118</v>
      </c>
      <c r="C268" s="15">
        <v>1</v>
      </c>
      <c r="D268" s="15">
        <v>1</v>
      </c>
    </row>
    <row r="269" spans="1:4" x14ac:dyDescent="0.25">
      <c r="A269" s="15">
        <v>252</v>
      </c>
      <c r="B269" s="15">
        <v>118</v>
      </c>
      <c r="C269" s="15">
        <v>1</v>
      </c>
      <c r="D269" s="15">
        <v>1</v>
      </c>
    </row>
    <row r="270" spans="1:4" x14ac:dyDescent="0.25">
      <c r="A270" s="15">
        <v>253</v>
      </c>
      <c r="B270" s="15">
        <v>118</v>
      </c>
      <c r="C270" s="15">
        <v>1</v>
      </c>
      <c r="D270" s="15">
        <v>1</v>
      </c>
    </row>
    <row r="271" spans="1:4" x14ac:dyDescent="0.25">
      <c r="A271" s="15">
        <v>254</v>
      </c>
      <c r="B271" s="15">
        <v>118</v>
      </c>
      <c r="C271" s="15">
        <v>1</v>
      </c>
      <c r="D271" s="15">
        <v>1</v>
      </c>
    </row>
    <row r="272" spans="1:4" x14ac:dyDescent="0.25">
      <c r="A272" s="15">
        <v>255</v>
      </c>
      <c r="B272" s="15">
        <v>118</v>
      </c>
      <c r="C272" s="15">
        <v>1</v>
      </c>
      <c r="D272" s="15">
        <v>1</v>
      </c>
    </row>
    <row r="273" spans="1:4" x14ac:dyDescent="0.25">
      <c r="A273" s="15">
        <v>256</v>
      </c>
      <c r="B273" s="15">
        <v>118</v>
      </c>
      <c r="C273" s="15">
        <v>1</v>
      </c>
      <c r="D273" s="15">
        <v>1</v>
      </c>
    </row>
    <row r="274" spans="1:4" x14ac:dyDescent="0.25">
      <c r="A274" s="15">
        <v>257</v>
      </c>
      <c r="B274" s="15">
        <v>118</v>
      </c>
      <c r="C274" s="15">
        <v>1</v>
      </c>
      <c r="D274" s="15">
        <v>1</v>
      </c>
    </row>
    <row r="275" spans="1:4" x14ac:dyDescent="0.25">
      <c r="A275" s="15">
        <v>258</v>
      </c>
      <c r="B275" s="15">
        <v>118</v>
      </c>
      <c r="C275" s="15">
        <v>1</v>
      </c>
      <c r="D275" s="15">
        <v>1</v>
      </c>
    </row>
    <row r="276" spans="1:4" x14ac:dyDescent="0.25">
      <c r="A276" s="15">
        <v>259</v>
      </c>
      <c r="B276" s="15">
        <v>118</v>
      </c>
      <c r="C276" s="15">
        <v>1</v>
      </c>
      <c r="D276" s="15">
        <v>1</v>
      </c>
    </row>
    <row r="277" spans="1:4" x14ac:dyDescent="0.25">
      <c r="A277" s="15">
        <v>260</v>
      </c>
      <c r="B277" s="15">
        <v>118</v>
      </c>
      <c r="C277" s="15">
        <v>1</v>
      </c>
      <c r="D277" s="15">
        <v>1</v>
      </c>
    </row>
    <row r="278" spans="1:4" x14ac:dyDescent="0.25">
      <c r="A278" s="15">
        <v>261</v>
      </c>
      <c r="B278" s="15">
        <v>118</v>
      </c>
      <c r="C278" s="15">
        <v>1</v>
      </c>
      <c r="D278" s="15">
        <v>1</v>
      </c>
    </row>
    <row r="279" spans="1:4" x14ac:dyDescent="0.25">
      <c r="A279" s="15">
        <v>262</v>
      </c>
      <c r="B279" s="15">
        <v>118</v>
      </c>
      <c r="C279" s="15">
        <v>1</v>
      </c>
      <c r="D279" s="15">
        <v>1</v>
      </c>
    </row>
    <row r="280" spans="1:4" x14ac:dyDescent="0.25">
      <c r="A280" s="15">
        <v>263</v>
      </c>
      <c r="B280" s="15">
        <v>118</v>
      </c>
      <c r="C280" s="15">
        <v>1</v>
      </c>
      <c r="D280" s="15">
        <v>1</v>
      </c>
    </row>
    <row r="281" spans="1:4" x14ac:dyDescent="0.25">
      <c r="A281" s="15">
        <v>264</v>
      </c>
      <c r="B281" s="15">
        <v>118</v>
      </c>
      <c r="C281" s="15">
        <v>1</v>
      </c>
      <c r="D281" s="15">
        <v>1</v>
      </c>
    </row>
    <row r="282" spans="1:4" x14ac:dyDescent="0.25">
      <c r="A282" s="15">
        <v>265</v>
      </c>
      <c r="B282" s="15">
        <v>118</v>
      </c>
      <c r="C282" s="15">
        <v>1</v>
      </c>
      <c r="D282" s="15">
        <v>1</v>
      </c>
    </row>
    <row r="283" spans="1:4" x14ac:dyDescent="0.25">
      <c r="A283" s="15">
        <v>266</v>
      </c>
      <c r="B283" s="15">
        <v>118</v>
      </c>
      <c r="C283" s="15">
        <v>1</v>
      </c>
      <c r="D283" s="15">
        <v>1</v>
      </c>
    </row>
    <row r="284" spans="1:4" x14ac:dyDescent="0.25">
      <c r="A284" s="15">
        <v>267</v>
      </c>
      <c r="B284" s="15">
        <v>118</v>
      </c>
      <c r="C284" s="15">
        <v>1</v>
      </c>
      <c r="D284" s="15">
        <v>1</v>
      </c>
    </row>
    <row r="285" spans="1:4" x14ac:dyDescent="0.25">
      <c r="A285" s="15">
        <v>268</v>
      </c>
      <c r="B285" s="15">
        <v>118</v>
      </c>
      <c r="C285" s="15">
        <v>1</v>
      </c>
      <c r="D285" s="15">
        <v>1</v>
      </c>
    </row>
    <row r="286" spans="1:4" x14ac:dyDescent="0.25">
      <c r="A286" s="15">
        <v>269</v>
      </c>
      <c r="B286" s="15">
        <v>118</v>
      </c>
      <c r="C286" s="15">
        <v>1</v>
      </c>
      <c r="D286" s="15">
        <v>1</v>
      </c>
    </row>
    <row r="287" spans="1:4" x14ac:dyDescent="0.25">
      <c r="A287" s="15">
        <v>270</v>
      </c>
      <c r="B287" s="15">
        <v>118</v>
      </c>
      <c r="C287" s="15">
        <v>1</v>
      </c>
      <c r="D287" s="15">
        <v>1</v>
      </c>
    </row>
    <row r="288" spans="1:4" x14ac:dyDescent="0.25">
      <c r="A288" s="15">
        <v>271</v>
      </c>
      <c r="B288" s="15">
        <v>118</v>
      </c>
      <c r="C288" s="15">
        <v>1</v>
      </c>
      <c r="D288" s="15">
        <v>1</v>
      </c>
    </row>
    <row r="289" spans="1:4" x14ac:dyDescent="0.25">
      <c r="A289" s="15">
        <v>272</v>
      </c>
      <c r="B289" s="15">
        <v>118</v>
      </c>
      <c r="C289" s="15">
        <v>1</v>
      </c>
      <c r="D289" s="15">
        <v>1</v>
      </c>
    </row>
    <row r="290" spans="1:4" x14ac:dyDescent="0.25">
      <c r="A290" s="15">
        <v>273</v>
      </c>
      <c r="B290" s="15">
        <v>118</v>
      </c>
      <c r="C290" s="15">
        <v>1</v>
      </c>
      <c r="D290" s="15">
        <v>1</v>
      </c>
    </row>
    <row r="291" spans="1:4" x14ac:dyDescent="0.25">
      <c r="A291" s="15">
        <v>274</v>
      </c>
      <c r="B291" s="15">
        <v>118</v>
      </c>
      <c r="C291" s="15">
        <v>1</v>
      </c>
      <c r="D291" s="15">
        <v>1</v>
      </c>
    </row>
    <row r="292" spans="1:4" x14ac:dyDescent="0.25">
      <c r="A292" s="15">
        <v>275</v>
      </c>
      <c r="B292" s="15">
        <v>118</v>
      </c>
      <c r="C292" s="15">
        <v>1</v>
      </c>
      <c r="D292" s="15">
        <v>1</v>
      </c>
    </row>
    <row r="293" spans="1:4" x14ac:dyDescent="0.25">
      <c r="A293" s="15">
        <v>276</v>
      </c>
      <c r="B293" s="15">
        <v>118</v>
      </c>
      <c r="C293" s="15">
        <v>1</v>
      </c>
      <c r="D293" s="15">
        <v>1</v>
      </c>
    </row>
    <row r="294" spans="1:4" x14ac:dyDescent="0.25">
      <c r="A294" s="15">
        <v>277</v>
      </c>
      <c r="B294" s="15">
        <v>118</v>
      </c>
      <c r="C294" s="15">
        <v>1</v>
      </c>
      <c r="D294" s="15">
        <v>1</v>
      </c>
    </row>
    <row r="295" spans="1:4" x14ac:dyDescent="0.25">
      <c r="A295" s="15">
        <v>278</v>
      </c>
      <c r="B295" s="15">
        <v>118</v>
      </c>
      <c r="C295" s="15">
        <v>1</v>
      </c>
      <c r="D295" s="15">
        <v>1</v>
      </c>
    </row>
    <row r="296" spans="1:4" x14ac:dyDescent="0.25">
      <c r="A296" s="15">
        <v>279</v>
      </c>
      <c r="B296" s="15">
        <v>118</v>
      </c>
      <c r="C296" s="15">
        <v>1</v>
      </c>
      <c r="D296" s="15">
        <v>1</v>
      </c>
    </row>
    <row r="297" spans="1:4" x14ac:dyDescent="0.25">
      <c r="A297" s="15">
        <v>280</v>
      </c>
      <c r="B297" s="15">
        <v>118</v>
      </c>
      <c r="C297" s="15">
        <v>1</v>
      </c>
      <c r="D297" s="15">
        <v>1</v>
      </c>
    </row>
    <row r="298" spans="1:4" x14ac:dyDescent="0.25">
      <c r="A298" s="15">
        <v>281</v>
      </c>
      <c r="B298" s="15">
        <v>118</v>
      </c>
      <c r="C298" s="15">
        <v>1</v>
      </c>
      <c r="D298" s="15">
        <v>1</v>
      </c>
    </row>
    <row r="299" spans="1:4" x14ac:dyDescent="0.25">
      <c r="A299" s="15">
        <v>282</v>
      </c>
      <c r="B299" s="15">
        <v>118</v>
      </c>
      <c r="C299" s="15">
        <v>1</v>
      </c>
      <c r="D299" s="15">
        <v>1</v>
      </c>
    </row>
    <row r="300" spans="1:4" x14ac:dyDescent="0.25">
      <c r="A300" s="15">
        <v>283</v>
      </c>
      <c r="B300" s="15">
        <v>118</v>
      </c>
      <c r="C300" s="15">
        <v>1</v>
      </c>
      <c r="D300" s="15">
        <v>1</v>
      </c>
    </row>
    <row r="301" spans="1:4" x14ac:dyDescent="0.25">
      <c r="A301" s="15">
        <v>284</v>
      </c>
      <c r="B301" s="15">
        <v>118</v>
      </c>
      <c r="C301" s="15">
        <v>1</v>
      </c>
      <c r="D301" s="15">
        <v>1</v>
      </c>
    </row>
    <row r="302" spans="1:4" x14ac:dyDescent="0.25">
      <c r="A302" s="15">
        <v>285</v>
      </c>
      <c r="B302" s="15">
        <v>118</v>
      </c>
      <c r="C302" s="15">
        <v>1</v>
      </c>
      <c r="D302" s="15">
        <v>1</v>
      </c>
    </row>
    <row r="303" spans="1:4" x14ac:dyDescent="0.25">
      <c r="A303" s="15">
        <v>286</v>
      </c>
      <c r="B303" s="15">
        <v>118</v>
      </c>
      <c r="C303" s="15">
        <v>1</v>
      </c>
      <c r="D303" s="15">
        <v>1</v>
      </c>
    </row>
    <row r="304" spans="1:4" x14ac:dyDescent="0.25">
      <c r="A304" s="15">
        <v>287</v>
      </c>
      <c r="B304" s="15">
        <v>118</v>
      </c>
      <c r="C304" s="15">
        <v>1</v>
      </c>
      <c r="D304" s="15">
        <v>1</v>
      </c>
    </row>
    <row r="305" spans="1:4" x14ac:dyDescent="0.25">
      <c r="A305" s="15">
        <v>288</v>
      </c>
      <c r="B305" s="15">
        <v>118</v>
      </c>
      <c r="C305" s="15">
        <v>1</v>
      </c>
      <c r="D305" s="15">
        <v>1</v>
      </c>
    </row>
    <row r="306" spans="1:4" x14ac:dyDescent="0.25">
      <c r="A306" s="15">
        <v>289</v>
      </c>
      <c r="B306" s="15">
        <v>118</v>
      </c>
      <c r="C306" s="15">
        <v>1</v>
      </c>
      <c r="D306" s="15">
        <v>1</v>
      </c>
    </row>
    <row r="307" spans="1:4" x14ac:dyDescent="0.25">
      <c r="A307" s="15">
        <v>290</v>
      </c>
      <c r="B307" s="15">
        <v>118</v>
      </c>
      <c r="C307" s="15">
        <v>1</v>
      </c>
      <c r="D307" s="15">
        <v>1</v>
      </c>
    </row>
    <row r="308" spans="1:4" x14ac:dyDescent="0.25">
      <c r="A308" s="15">
        <v>291</v>
      </c>
      <c r="B308" s="15">
        <v>118</v>
      </c>
      <c r="C308" s="15">
        <v>1</v>
      </c>
      <c r="D308" s="15">
        <v>1</v>
      </c>
    </row>
    <row r="309" spans="1:4" x14ac:dyDescent="0.25">
      <c r="A309" s="15">
        <v>292</v>
      </c>
      <c r="B309" s="15">
        <v>118</v>
      </c>
      <c r="C309" s="15">
        <v>1</v>
      </c>
      <c r="D309" s="15">
        <v>1</v>
      </c>
    </row>
    <row r="310" spans="1:4" x14ac:dyDescent="0.25">
      <c r="A310" s="15">
        <v>293</v>
      </c>
      <c r="B310" s="15">
        <v>118</v>
      </c>
      <c r="C310" s="15">
        <v>1</v>
      </c>
      <c r="D310" s="15">
        <v>1</v>
      </c>
    </row>
    <row r="311" spans="1:4" x14ac:dyDescent="0.25">
      <c r="A311" s="15">
        <v>294</v>
      </c>
      <c r="B311" s="15">
        <v>118</v>
      </c>
      <c r="C311" s="15">
        <v>1</v>
      </c>
      <c r="D311" s="15">
        <v>1</v>
      </c>
    </row>
    <row r="312" spans="1:4" x14ac:dyDescent="0.25">
      <c r="A312" s="15">
        <v>295</v>
      </c>
      <c r="B312" s="15">
        <v>118</v>
      </c>
      <c r="C312" s="15">
        <v>1</v>
      </c>
      <c r="D312" s="15">
        <v>1</v>
      </c>
    </row>
    <row r="313" spans="1:4" x14ac:dyDescent="0.25">
      <c r="A313" s="15">
        <v>296</v>
      </c>
      <c r="B313" s="15">
        <v>118</v>
      </c>
      <c r="C313" s="15">
        <v>1</v>
      </c>
      <c r="D313" s="15">
        <v>1</v>
      </c>
    </row>
    <row r="314" spans="1:4" x14ac:dyDescent="0.25">
      <c r="A314" s="15">
        <v>297</v>
      </c>
      <c r="B314" s="15">
        <v>118</v>
      </c>
      <c r="C314" s="15">
        <v>1</v>
      </c>
      <c r="D314" s="15">
        <v>1</v>
      </c>
    </row>
    <row r="315" spans="1:4" x14ac:dyDescent="0.25">
      <c r="A315" s="15">
        <v>298</v>
      </c>
      <c r="B315" s="15">
        <v>118</v>
      </c>
      <c r="C315" s="15">
        <v>1</v>
      </c>
      <c r="D315" s="15">
        <v>1</v>
      </c>
    </row>
    <row r="316" spans="1:4" x14ac:dyDescent="0.25">
      <c r="A316" s="15">
        <v>299</v>
      </c>
      <c r="B316" s="15">
        <v>118</v>
      </c>
      <c r="C316" s="15">
        <v>1</v>
      </c>
      <c r="D316" s="15">
        <v>1</v>
      </c>
    </row>
    <row r="317" spans="1:4" x14ac:dyDescent="0.25">
      <c r="A317" s="15">
        <v>300</v>
      </c>
      <c r="B317" s="15">
        <v>118</v>
      </c>
      <c r="C317" s="15">
        <v>1</v>
      </c>
      <c r="D317" s="15">
        <v>1</v>
      </c>
    </row>
    <row r="318" spans="1:4" x14ac:dyDescent="0.25">
      <c r="A318" s="15">
        <v>301</v>
      </c>
      <c r="B318" s="15">
        <v>118</v>
      </c>
      <c r="C318" s="15">
        <v>1</v>
      </c>
      <c r="D318" s="15">
        <v>1</v>
      </c>
    </row>
    <row r="319" spans="1:4" x14ac:dyDescent="0.25">
      <c r="A319" s="15">
        <v>302</v>
      </c>
      <c r="B319" s="15">
        <v>118</v>
      </c>
      <c r="C319" s="15">
        <v>1</v>
      </c>
      <c r="D319" s="15">
        <v>1</v>
      </c>
    </row>
    <row r="320" spans="1:4" x14ac:dyDescent="0.25">
      <c r="A320" s="15">
        <v>303</v>
      </c>
      <c r="B320" s="15">
        <v>118</v>
      </c>
      <c r="C320" s="15">
        <v>1</v>
      </c>
      <c r="D320" s="15">
        <v>1</v>
      </c>
    </row>
    <row r="321" spans="1:4" x14ac:dyDescent="0.25">
      <c r="A321" s="15">
        <v>304</v>
      </c>
      <c r="B321" s="15">
        <v>118</v>
      </c>
      <c r="C321" s="15">
        <v>1</v>
      </c>
      <c r="D321" s="15">
        <v>1</v>
      </c>
    </row>
    <row r="322" spans="1:4" x14ac:dyDescent="0.25">
      <c r="A322" s="15">
        <v>305</v>
      </c>
      <c r="B322" s="15">
        <v>118</v>
      </c>
      <c r="C322" s="15">
        <v>1</v>
      </c>
      <c r="D322" s="15">
        <v>1</v>
      </c>
    </row>
    <row r="323" spans="1:4" x14ac:dyDescent="0.25">
      <c r="A323" s="15">
        <v>306</v>
      </c>
      <c r="B323" s="15">
        <v>118</v>
      </c>
      <c r="C323" s="15">
        <v>1</v>
      </c>
      <c r="D323" s="15">
        <v>1</v>
      </c>
    </row>
    <row r="324" spans="1:4" x14ac:dyDescent="0.25">
      <c r="A324" s="15">
        <v>307</v>
      </c>
      <c r="B324" s="15">
        <v>118</v>
      </c>
      <c r="C324" s="15">
        <v>1</v>
      </c>
      <c r="D324" s="15">
        <v>1</v>
      </c>
    </row>
    <row r="325" spans="1:4" x14ac:dyDescent="0.25">
      <c r="A325" s="15">
        <v>308</v>
      </c>
      <c r="B325" s="15">
        <v>118</v>
      </c>
      <c r="C325" s="15">
        <v>1</v>
      </c>
      <c r="D325" s="15">
        <v>1</v>
      </c>
    </row>
    <row r="326" spans="1:4" x14ac:dyDescent="0.25">
      <c r="A326" s="15">
        <v>309</v>
      </c>
      <c r="B326" s="15">
        <v>118</v>
      </c>
      <c r="C326" s="15">
        <v>1</v>
      </c>
      <c r="D326" s="15">
        <v>1</v>
      </c>
    </row>
    <row r="327" spans="1:4" x14ac:dyDescent="0.25">
      <c r="A327" s="15">
        <v>310</v>
      </c>
      <c r="B327" s="15">
        <v>118</v>
      </c>
      <c r="C327" s="15">
        <v>1</v>
      </c>
      <c r="D327" s="15">
        <v>1</v>
      </c>
    </row>
    <row r="328" spans="1:4" x14ac:dyDescent="0.25">
      <c r="A328" s="15">
        <v>311</v>
      </c>
      <c r="B328" s="15">
        <v>118</v>
      </c>
      <c r="C328" s="15">
        <v>1</v>
      </c>
      <c r="D328" s="15">
        <v>1</v>
      </c>
    </row>
    <row r="329" spans="1:4" x14ac:dyDescent="0.25">
      <c r="A329" s="15">
        <v>312</v>
      </c>
      <c r="B329" s="15">
        <v>118</v>
      </c>
      <c r="C329" s="15">
        <v>1</v>
      </c>
      <c r="D329" s="15">
        <v>1</v>
      </c>
    </row>
    <row r="330" spans="1:4" x14ac:dyDescent="0.25">
      <c r="A330" s="15">
        <v>313</v>
      </c>
      <c r="B330" s="15">
        <v>118</v>
      </c>
      <c r="C330" s="15">
        <v>1</v>
      </c>
      <c r="D330" s="15">
        <v>1</v>
      </c>
    </row>
    <row r="331" spans="1:4" x14ac:dyDescent="0.25">
      <c r="A331" s="15">
        <v>314</v>
      </c>
      <c r="B331" s="15">
        <v>118</v>
      </c>
      <c r="C331" s="15">
        <v>1</v>
      </c>
      <c r="D331" s="15">
        <v>1</v>
      </c>
    </row>
  </sheetData>
  <autoFilter ref="A17:H17" xr:uid="{9AA81BA4-B48C-4F99-8E80-1089CCB85B8F}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A8AB-35F7-4B90-BA2D-354C8BB5D259}">
  <dimension ref="A1:Q32"/>
  <sheetViews>
    <sheetView workbookViewId="0">
      <selection activeCell="N2" sqref="N2"/>
    </sheetView>
  </sheetViews>
  <sheetFormatPr defaultRowHeight="15" x14ac:dyDescent="0.25"/>
  <cols>
    <col min="1" max="4" width="9.140625" style="4"/>
    <col min="5" max="6" width="9.140625" style="3"/>
    <col min="7" max="7" width="37.42578125" style="52" customWidth="1"/>
    <col min="8" max="11" width="9.140625" style="39"/>
    <col min="12" max="12" width="11.5703125" style="39" bestFit="1" customWidth="1"/>
    <col min="13" max="16384" width="9.140625" style="39"/>
  </cols>
  <sheetData>
    <row r="1" spans="1:17" s="48" customFormat="1" ht="45" x14ac:dyDescent="0.25">
      <c r="A1" s="49" t="s">
        <v>97</v>
      </c>
      <c r="B1" s="49" t="s">
        <v>99</v>
      </c>
      <c r="C1" s="49" t="s">
        <v>98</v>
      </c>
      <c r="D1" s="49" t="s">
        <v>28</v>
      </c>
      <c r="E1" s="50" t="s">
        <v>102</v>
      </c>
      <c r="F1" s="50" t="s">
        <v>101</v>
      </c>
      <c r="G1" s="51" t="s">
        <v>100</v>
      </c>
      <c r="K1" s="10"/>
      <c r="L1" s="53" t="s">
        <v>104</v>
      </c>
      <c r="M1" s="53" t="s">
        <v>105</v>
      </c>
      <c r="N1" s="54" t="s">
        <v>115</v>
      </c>
      <c r="O1" s="54" t="s">
        <v>116</v>
      </c>
      <c r="P1" s="54"/>
      <c r="Q1" s="48" t="s">
        <v>105</v>
      </c>
    </row>
    <row r="2" spans="1:17" x14ac:dyDescent="0.25">
      <c r="A2" s="4">
        <v>8</v>
      </c>
      <c r="B2" s="4">
        <v>0.6</v>
      </c>
      <c r="C2" s="4">
        <v>1</v>
      </c>
      <c r="D2" s="4">
        <v>12.7</v>
      </c>
      <c r="E2" s="3">
        <v>7.95</v>
      </c>
      <c r="F2" s="3">
        <v>0</v>
      </c>
      <c r="K2" s="39">
        <v>0.4</v>
      </c>
      <c r="L2" s="10">
        <f>AVERAGEIF($B:$B,$K2,$E:$E)</f>
        <v>17.02</v>
      </c>
      <c r="M2" cm="1">
        <f t="array" ref="M2">_xlfn.STDEV.S(_xlfn._xlws.FILTER($E:$E, $B:$B=$K2))</f>
        <v>3.5220448605888062</v>
      </c>
      <c r="N2" s="39">
        <f>480/L2</f>
        <v>28.2021151586369</v>
      </c>
      <c r="O2" s="39">
        <f>L2+M2</f>
        <v>20.542044860588806</v>
      </c>
      <c r="P2" s="39">
        <f>480/O2</f>
        <v>23.366709753463248</v>
      </c>
      <c r="Q2" s="39">
        <f>N2-P2</f>
        <v>4.8354054051736526</v>
      </c>
    </row>
    <row r="3" spans="1:17" x14ac:dyDescent="0.25">
      <c r="A3" s="4">
        <v>8</v>
      </c>
      <c r="B3" s="4">
        <v>0.6</v>
      </c>
      <c r="C3" s="4">
        <v>1</v>
      </c>
      <c r="D3" s="4">
        <v>12.7</v>
      </c>
      <c r="E3" s="3">
        <v>10.09</v>
      </c>
      <c r="F3" s="3">
        <v>1</v>
      </c>
      <c r="K3" s="10">
        <v>0.5</v>
      </c>
      <c r="L3" s="10">
        <f>AVERAGEIF($B:$B,$K3,$E:$E)</f>
        <v>11.141428571428573</v>
      </c>
      <c r="M3" cm="1">
        <f t="array" ref="M3">_xlfn.STDEV.S(_xlfn._xlws.FILTER($E:$E, $B:$B=$K3))</f>
        <v>1.7922372291954711</v>
      </c>
      <c r="N3" s="39">
        <f t="shared" ref="N3:N6" si="0">480/L3</f>
        <v>43.082446467495828</v>
      </c>
      <c r="O3" s="39">
        <f t="shared" ref="O3:O6" si="1">L3+M3</f>
        <v>12.933665800624045</v>
      </c>
      <c r="P3" s="39">
        <f t="shared" ref="P3:P6" si="2">480/O3</f>
        <v>37.112448040588781</v>
      </c>
      <c r="Q3" s="39">
        <f t="shared" ref="Q3:Q6" si="3">N3-P3</f>
        <v>5.969998426907047</v>
      </c>
    </row>
    <row r="4" spans="1:17" x14ac:dyDescent="0.25">
      <c r="A4" s="4">
        <v>8</v>
      </c>
      <c r="B4" s="4">
        <v>0.6</v>
      </c>
      <c r="C4" s="4">
        <v>1</v>
      </c>
      <c r="D4" s="4">
        <v>12.7</v>
      </c>
      <c r="E4" s="3">
        <v>12.03</v>
      </c>
      <c r="F4" s="3">
        <v>2</v>
      </c>
      <c r="K4" s="10">
        <v>0.6</v>
      </c>
      <c r="L4" s="10">
        <f>AVERAGEIF($B:$B,$K4,$E:$E)</f>
        <v>10.957142857142857</v>
      </c>
      <c r="M4" cm="1">
        <f t="array" ref="M4">_xlfn.STDEV.S(_xlfn._xlws.FILTER($E:$E, $B:$B=$K4))</f>
        <v>2.3981778797364357</v>
      </c>
      <c r="N4" s="39">
        <f t="shared" si="0"/>
        <v>43.807040417209905</v>
      </c>
      <c r="O4" s="39">
        <f t="shared" si="1"/>
        <v>13.355320736879293</v>
      </c>
      <c r="P4" s="39">
        <f t="shared" si="2"/>
        <v>35.940731747050542</v>
      </c>
      <c r="Q4" s="39">
        <f t="shared" si="3"/>
        <v>7.8663086701593627</v>
      </c>
    </row>
    <row r="5" spans="1:17" x14ac:dyDescent="0.25">
      <c r="A5" s="4">
        <v>8</v>
      </c>
      <c r="B5" s="4">
        <v>0.6</v>
      </c>
      <c r="C5" s="4">
        <v>1</v>
      </c>
      <c r="D5" s="4">
        <v>12.7</v>
      </c>
      <c r="E5" s="3">
        <v>14.74</v>
      </c>
      <c r="F5" s="3">
        <v>2</v>
      </c>
      <c r="K5" s="10">
        <v>0.75</v>
      </c>
      <c r="L5" s="10">
        <f>AVERAGEIF($B:$B,$K5,$E:$E)</f>
        <v>9.0457142857142863</v>
      </c>
      <c r="M5" cm="1">
        <f t="array" ref="M5">_xlfn.STDEV.S(_xlfn._xlws.FILTER($E:$E, $B:$B=$K5))</f>
        <v>2.3320438613860963</v>
      </c>
      <c r="N5" s="39">
        <f t="shared" si="0"/>
        <v>53.063802905874915</v>
      </c>
      <c r="O5" s="39">
        <f t="shared" si="1"/>
        <v>11.377758147100383</v>
      </c>
      <c r="P5" s="39">
        <f t="shared" si="2"/>
        <v>42.187572788434409</v>
      </c>
      <c r="Q5" s="39">
        <f t="shared" si="3"/>
        <v>10.876230117440507</v>
      </c>
    </row>
    <row r="6" spans="1:17" x14ac:dyDescent="0.25">
      <c r="A6" s="4">
        <v>8</v>
      </c>
      <c r="B6" s="4">
        <v>0.6</v>
      </c>
      <c r="C6" s="4">
        <v>1</v>
      </c>
      <c r="D6" s="4">
        <v>12.7</v>
      </c>
      <c r="E6" s="3">
        <v>13.07</v>
      </c>
      <c r="F6" s="3">
        <v>1</v>
      </c>
      <c r="K6" s="10">
        <v>1</v>
      </c>
      <c r="L6" s="10">
        <f>AVERAGEIF($B:$B,$K6,$E:$E)</f>
        <v>6.8100000000000005</v>
      </c>
      <c r="M6" cm="1">
        <f t="array" ref="M6">_xlfn.STDEV.S(_xlfn._xlws.FILTER($E:$E, $B:$B=$K6))</f>
        <v>1.0160380570300189</v>
      </c>
      <c r="N6" s="39">
        <f t="shared" si="0"/>
        <v>70.48458149779735</v>
      </c>
      <c r="O6" s="39">
        <f t="shared" si="1"/>
        <v>7.8260380570300194</v>
      </c>
      <c r="P6" s="39">
        <f t="shared" si="2"/>
        <v>61.333716562855557</v>
      </c>
      <c r="Q6" s="39">
        <f t="shared" si="3"/>
        <v>9.1508649349417936</v>
      </c>
    </row>
    <row r="7" spans="1:17" x14ac:dyDescent="0.25">
      <c r="A7" s="4">
        <v>8</v>
      </c>
      <c r="B7" s="4">
        <v>0.6</v>
      </c>
      <c r="C7" s="4">
        <v>1</v>
      </c>
      <c r="D7" s="4">
        <v>12.7</v>
      </c>
      <c r="E7" s="3">
        <v>9.42</v>
      </c>
      <c r="F7" s="3">
        <v>0</v>
      </c>
    </row>
    <row r="8" spans="1:17" x14ac:dyDescent="0.25">
      <c r="A8" s="4">
        <v>8</v>
      </c>
      <c r="B8" s="4">
        <v>0.6</v>
      </c>
      <c r="C8" s="4">
        <v>1</v>
      </c>
      <c r="D8" s="4">
        <v>12.6</v>
      </c>
      <c r="E8" s="3">
        <v>9.4</v>
      </c>
      <c r="F8" s="3">
        <v>1</v>
      </c>
    </row>
    <row r="9" spans="1:17" x14ac:dyDescent="0.25">
      <c r="A9" s="4">
        <v>8</v>
      </c>
      <c r="B9" s="4">
        <v>1</v>
      </c>
      <c r="C9" s="4">
        <v>1</v>
      </c>
      <c r="D9" s="4">
        <v>12.6</v>
      </c>
      <c r="E9" s="3">
        <v>6.25</v>
      </c>
      <c r="F9" s="3">
        <v>0</v>
      </c>
    </row>
    <row r="10" spans="1:17" x14ac:dyDescent="0.25">
      <c r="A10" s="4">
        <v>8</v>
      </c>
      <c r="B10" s="4">
        <v>1</v>
      </c>
      <c r="C10" s="4">
        <v>1</v>
      </c>
      <c r="D10" s="4">
        <v>12.6</v>
      </c>
      <c r="E10" s="3">
        <v>6.92</v>
      </c>
      <c r="F10" s="3">
        <v>0</v>
      </c>
    </row>
    <row r="11" spans="1:17" x14ac:dyDescent="0.25">
      <c r="A11" s="4">
        <v>8</v>
      </c>
      <c r="B11" s="4">
        <v>1</v>
      </c>
      <c r="C11" s="4">
        <v>1</v>
      </c>
      <c r="D11" s="4">
        <v>12.6</v>
      </c>
      <c r="E11" s="3">
        <v>5.65</v>
      </c>
      <c r="F11" s="3">
        <v>0</v>
      </c>
    </row>
    <row r="12" spans="1:17" x14ac:dyDescent="0.25">
      <c r="A12" s="4">
        <v>8</v>
      </c>
      <c r="B12" s="4">
        <v>1</v>
      </c>
      <c r="C12" s="4">
        <v>1</v>
      </c>
      <c r="D12" s="4">
        <v>12.6</v>
      </c>
      <c r="E12" s="3">
        <v>5.76</v>
      </c>
      <c r="F12" s="3">
        <v>0</v>
      </c>
    </row>
    <row r="13" spans="1:17" x14ac:dyDescent="0.25">
      <c r="A13" s="4">
        <v>8</v>
      </c>
      <c r="B13" s="4">
        <v>1</v>
      </c>
      <c r="C13" s="4">
        <v>1</v>
      </c>
      <c r="D13" s="4">
        <v>12.6</v>
      </c>
      <c r="E13" s="3">
        <v>8.3800000000000008</v>
      </c>
      <c r="F13" s="3">
        <v>1</v>
      </c>
    </row>
    <row r="14" spans="1:17" x14ac:dyDescent="0.25">
      <c r="A14" s="4">
        <v>8</v>
      </c>
      <c r="B14" s="4">
        <v>1</v>
      </c>
      <c r="C14" s="4">
        <v>1</v>
      </c>
      <c r="D14" s="4">
        <v>12.5</v>
      </c>
      <c r="E14" s="3">
        <v>7.78</v>
      </c>
      <c r="F14" s="3">
        <v>1</v>
      </c>
    </row>
    <row r="15" spans="1:17" x14ac:dyDescent="0.25">
      <c r="A15" s="4">
        <v>8</v>
      </c>
      <c r="B15" s="4">
        <v>1</v>
      </c>
      <c r="C15" s="4">
        <v>1</v>
      </c>
      <c r="D15" s="4">
        <v>12.5</v>
      </c>
      <c r="E15" s="3">
        <v>6.93</v>
      </c>
      <c r="F15" s="3">
        <v>0</v>
      </c>
    </row>
    <row r="16" spans="1:17" x14ac:dyDescent="0.25">
      <c r="A16" s="4">
        <v>8</v>
      </c>
      <c r="B16" s="4">
        <v>0.75</v>
      </c>
      <c r="C16" s="4">
        <v>1</v>
      </c>
      <c r="D16" s="4">
        <v>12.5</v>
      </c>
      <c r="E16" s="3">
        <v>6.08</v>
      </c>
      <c r="F16" s="3">
        <v>0</v>
      </c>
    </row>
    <row r="17" spans="1:7" x14ac:dyDescent="0.25">
      <c r="A17" s="4">
        <v>8</v>
      </c>
      <c r="B17" s="4">
        <v>0.75</v>
      </c>
      <c r="C17" s="4">
        <v>1</v>
      </c>
      <c r="D17" s="4">
        <v>12.5</v>
      </c>
      <c r="E17" s="3">
        <v>8.02</v>
      </c>
      <c r="F17" s="3">
        <v>1</v>
      </c>
    </row>
    <row r="18" spans="1:7" x14ac:dyDescent="0.25">
      <c r="A18" s="4">
        <v>8</v>
      </c>
      <c r="B18" s="4">
        <v>0.75</v>
      </c>
      <c r="C18" s="4">
        <v>1</v>
      </c>
      <c r="D18" s="4">
        <v>12.5</v>
      </c>
      <c r="E18" s="3">
        <v>6.43</v>
      </c>
      <c r="F18" s="3">
        <v>0</v>
      </c>
    </row>
    <row r="19" spans="1:7" x14ac:dyDescent="0.25">
      <c r="A19" s="4">
        <v>8</v>
      </c>
      <c r="B19" s="4">
        <v>0.75</v>
      </c>
      <c r="C19" s="4">
        <v>1</v>
      </c>
      <c r="D19" s="4">
        <v>12.5</v>
      </c>
      <c r="E19" s="3">
        <v>11.79</v>
      </c>
      <c r="F19" s="3">
        <v>2</v>
      </c>
    </row>
    <row r="20" spans="1:7" x14ac:dyDescent="0.25">
      <c r="A20" s="4">
        <v>8</v>
      </c>
      <c r="B20" s="4">
        <v>0.75</v>
      </c>
      <c r="C20" s="4">
        <v>1</v>
      </c>
      <c r="D20" s="4">
        <v>12.5</v>
      </c>
      <c r="E20" s="3">
        <v>9.7799999999999994</v>
      </c>
      <c r="F20" s="3">
        <v>1</v>
      </c>
    </row>
    <row r="21" spans="1:7" x14ac:dyDescent="0.25">
      <c r="A21" s="4">
        <v>8</v>
      </c>
      <c r="B21" s="4">
        <v>0.75</v>
      </c>
      <c r="C21" s="4">
        <v>1</v>
      </c>
      <c r="D21" s="4">
        <v>12.5</v>
      </c>
      <c r="E21" s="3">
        <v>11.83</v>
      </c>
      <c r="F21" s="3">
        <v>1</v>
      </c>
    </row>
    <row r="22" spans="1:7" x14ac:dyDescent="0.25">
      <c r="A22" s="4">
        <v>8</v>
      </c>
      <c r="B22" s="4">
        <v>0.75</v>
      </c>
      <c r="C22" s="4">
        <v>1</v>
      </c>
      <c r="D22" s="4">
        <v>12.5</v>
      </c>
      <c r="E22" s="3">
        <v>9.39</v>
      </c>
      <c r="F22" s="3">
        <v>1</v>
      </c>
    </row>
    <row r="23" spans="1:7" x14ac:dyDescent="0.25">
      <c r="A23" s="4">
        <v>8</v>
      </c>
      <c r="B23" s="4">
        <v>0.4</v>
      </c>
      <c r="C23" s="4">
        <v>1</v>
      </c>
      <c r="D23" s="4">
        <v>12.5</v>
      </c>
      <c r="E23" s="3">
        <v>13.18</v>
      </c>
      <c r="F23" s="3">
        <v>1</v>
      </c>
      <c r="G23" s="52" t="s">
        <v>103</v>
      </c>
    </row>
    <row r="24" spans="1:7" x14ac:dyDescent="0.25">
      <c r="A24" s="4">
        <v>8</v>
      </c>
      <c r="B24" s="4">
        <v>0.4</v>
      </c>
      <c r="C24" s="4">
        <v>1</v>
      </c>
      <c r="D24" s="4">
        <v>12.5</v>
      </c>
      <c r="E24" s="3">
        <v>20.100000000000001</v>
      </c>
      <c r="F24" s="3">
        <v>2</v>
      </c>
      <c r="G24" s="52" t="s">
        <v>103</v>
      </c>
    </row>
    <row r="25" spans="1:7" x14ac:dyDescent="0.25">
      <c r="A25" s="4">
        <v>8</v>
      </c>
      <c r="B25" s="4">
        <v>0.4</v>
      </c>
      <c r="C25" s="4">
        <v>1</v>
      </c>
      <c r="D25" s="4">
        <v>12.5</v>
      </c>
      <c r="E25" s="3">
        <v>17.78</v>
      </c>
      <c r="F25" s="3">
        <v>2</v>
      </c>
      <c r="G25" s="52" t="s">
        <v>103</v>
      </c>
    </row>
    <row r="26" spans="1:7" x14ac:dyDescent="0.25">
      <c r="A26" s="4">
        <v>8</v>
      </c>
      <c r="B26" s="4">
        <v>0.5</v>
      </c>
      <c r="C26" s="4">
        <v>1</v>
      </c>
      <c r="D26" s="4">
        <v>12.4</v>
      </c>
      <c r="E26" s="3">
        <v>10.17</v>
      </c>
      <c r="F26" s="3">
        <v>0</v>
      </c>
    </row>
    <row r="27" spans="1:7" x14ac:dyDescent="0.25">
      <c r="A27" s="4">
        <v>8</v>
      </c>
      <c r="B27" s="4">
        <v>0.5</v>
      </c>
      <c r="C27" s="4">
        <v>1</v>
      </c>
      <c r="D27" s="4">
        <v>12.4</v>
      </c>
      <c r="E27" s="3">
        <v>9.0500000000000007</v>
      </c>
      <c r="F27" s="3">
        <v>0</v>
      </c>
    </row>
    <row r="28" spans="1:7" x14ac:dyDescent="0.25">
      <c r="A28" s="4">
        <v>8</v>
      </c>
      <c r="B28" s="4">
        <v>0.5</v>
      </c>
      <c r="C28" s="4">
        <v>1</v>
      </c>
      <c r="D28" s="4">
        <v>12.4</v>
      </c>
      <c r="E28" s="3">
        <v>12.41</v>
      </c>
      <c r="F28" s="3">
        <v>2</v>
      </c>
    </row>
    <row r="29" spans="1:7" x14ac:dyDescent="0.25">
      <c r="A29" s="4">
        <v>8</v>
      </c>
      <c r="B29" s="4">
        <v>0.5</v>
      </c>
      <c r="C29" s="4">
        <v>1</v>
      </c>
      <c r="D29" s="4">
        <v>12.4</v>
      </c>
      <c r="E29" s="3">
        <v>14.09</v>
      </c>
      <c r="F29" s="3">
        <v>1</v>
      </c>
    </row>
    <row r="30" spans="1:7" x14ac:dyDescent="0.25">
      <c r="A30" s="4">
        <v>8</v>
      </c>
      <c r="B30" s="4">
        <v>0.5</v>
      </c>
      <c r="C30" s="4">
        <v>1</v>
      </c>
      <c r="D30" s="4">
        <v>12.4</v>
      </c>
      <c r="E30" s="3">
        <v>9.89</v>
      </c>
      <c r="F30" s="3">
        <v>0</v>
      </c>
    </row>
    <row r="31" spans="1:7" x14ac:dyDescent="0.25">
      <c r="A31" s="4">
        <v>8</v>
      </c>
      <c r="B31" s="4">
        <v>0.5</v>
      </c>
      <c r="C31" s="4">
        <v>1</v>
      </c>
      <c r="D31" s="4">
        <v>12.4</v>
      </c>
      <c r="E31" s="3">
        <v>10.17</v>
      </c>
      <c r="F31" s="3">
        <v>0</v>
      </c>
    </row>
    <row r="32" spans="1:7" x14ac:dyDescent="0.25">
      <c r="A32" s="4">
        <v>8</v>
      </c>
      <c r="B32" s="4">
        <v>0.5</v>
      </c>
      <c r="C32" s="4">
        <v>1</v>
      </c>
      <c r="D32" s="4">
        <v>12.4</v>
      </c>
      <c r="E32" s="3">
        <v>12.21</v>
      </c>
      <c r="F32" s="3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F652A-E5E7-49FD-81C7-54888FFB9D2C}">
  <dimension ref="A1:W16"/>
  <sheetViews>
    <sheetView workbookViewId="0">
      <selection activeCell="W3" sqref="W3"/>
    </sheetView>
  </sheetViews>
  <sheetFormatPr defaultRowHeight="15" x14ac:dyDescent="0.25"/>
  <cols>
    <col min="1" max="1" width="9.28515625" style="56" bestFit="1" customWidth="1"/>
    <col min="2" max="2" width="11.5703125" style="56" customWidth="1"/>
    <col min="3" max="3" width="9.28515625" style="56" customWidth="1"/>
    <col min="4" max="5" width="9.28515625" style="56" bestFit="1" customWidth="1"/>
    <col min="6" max="6" width="9.140625" style="59"/>
    <col min="7" max="20" width="9.140625" style="56"/>
    <col min="21" max="21" width="10.28515625" style="56" customWidth="1"/>
    <col min="22" max="16384" width="9.140625" style="56"/>
  </cols>
  <sheetData>
    <row r="1" spans="1:23" s="54" customFormat="1" ht="52.5" customHeight="1" x14ac:dyDescent="0.25">
      <c r="A1" s="54" t="s">
        <v>107</v>
      </c>
      <c r="B1" s="54" t="s">
        <v>104</v>
      </c>
      <c r="C1" s="54" t="s">
        <v>108</v>
      </c>
      <c r="D1" s="54" t="s">
        <v>106</v>
      </c>
      <c r="E1" s="54" t="s">
        <v>109</v>
      </c>
      <c r="F1" s="57" t="s">
        <v>111</v>
      </c>
      <c r="G1" s="54" t="s">
        <v>112</v>
      </c>
      <c r="H1" s="62" t="s">
        <v>114</v>
      </c>
      <c r="I1" s="62"/>
      <c r="J1" s="62"/>
      <c r="K1" s="62"/>
      <c r="L1" s="62"/>
      <c r="M1" s="62"/>
      <c r="N1" s="62"/>
      <c r="O1" s="62"/>
      <c r="P1" s="62" t="s">
        <v>121</v>
      </c>
      <c r="Q1" s="62"/>
      <c r="R1" s="62"/>
      <c r="S1" s="62"/>
      <c r="T1" s="62"/>
      <c r="V1" s="50" t="s">
        <v>113</v>
      </c>
      <c r="W1" s="50" t="s">
        <v>120</v>
      </c>
    </row>
    <row r="2" spans="1:23" s="54" customFormat="1" x14ac:dyDescent="0.25">
      <c r="A2" s="54" t="s">
        <v>4</v>
      </c>
      <c r="B2" s="54" t="s">
        <v>110</v>
      </c>
      <c r="C2" s="54" t="s">
        <v>110</v>
      </c>
      <c r="D2" s="54" t="s">
        <v>12</v>
      </c>
      <c r="E2" s="54" t="s">
        <v>12</v>
      </c>
      <c r="F2" s="57"/>
      <c r="G2" s="54" t="s">
        <v>110</v>
      </c>
      <c r="H2" s="54">
        <v>4</v>
      </c>
      <c r="I2" s="54">
        <v>5</v>
      </c>
      <c r="J2" s="54">
        <v>6</v>
      </c>
      <c r="K2" s="54">
        <v>7</v>
      </c>
      <c r="L2" s="54">
        <v>8</v>
      </c>
      <c r="M2" s="54">
        <v>9</v>
      </c>
      <c r="N2" s="54">
        <v>10</v>
      </c>
      <c r="O2" s="54">
        <v>11</v>
      </c>
      <c r="P2" s="54">
        <v>4</v>
      </c>
      <c r="Q2" s="54">
        <v>5</v>
      </c>
      <c r="R2" s="54">
        <v>6</v>
      </c>
      <c r="S2" s="54">
        <v>7</v>
      </c>
      <c r="T2" s="54">
        <v>8</v>
      </c>
      <c r="V2" s="60">
        <v>11.5</v>
      </c>
      <c r="W2" s="50">
        <v>8</v>
      </c>
    </row>
    <row r="3" spans="1:23" x14ac:dyDescent="0.25">
      <c r="A3" s="55">
        <v>0.4</v>
      </c>
      <c r="B3" s="55">
        <v>28.2021151586369</v>
      </c>
      <c r="C3" s="56">
        <v>4.8354054051736526</v>
      </c>
      <c r="D3" s="56">
        <v>67.769230769230774</v>
      </c>
      <c r="E3" s="56">
        <v>10.207086527732368</v>
      </c>
      <c r="F3" s="58">
        <f>_xlfn.NORM.DIST(21.385, 0, E3, TRUE) - _xlfn.NORM.DIST(-21.385, 0, E3, TRUE)</f>
        <v>0.96383905423860639</v>
      </c>
      <c r="G3">
        <f>F3*B3</f>
        <v>27.182300002028853</v>
      </c>
      <c r="H3" s="61">
        <f t="shared" ref="H3:O7" si="0">1 - _xlfn.NORM.DIST(H$2 - 0.5, ($B3/60)*$V$2*$F3, SQRT((($B3/60)*$V$2*$F3*(1-$F3)) + (($C3/60)*$V$2*$F3)^2), TRUE)</f>
        <v>0.9574423650561259</v>
      </c>
      <c r="I3" s="61">
        <f t="shared" si="0"/>
        <v>0.76264689978251732</v>
      </c>
      <c r="J3" s="61">
        <f t="shared" si="0"/>
        <v>0.38511963186167564</v>
      </c>
      <c r="K3" s="61">
        <f t="shared" si="0"/>
        <v>9.6977685364832422E-2</v>
      </c>
      <c r="L3" s="61">
        <f t="shared" si="0"/>
        <v>1.0558910144791489E-2</v>
      </c>
      <c r="M3" s="61">
        <f t="shared" si="0"/>
        <v>4.6187449682422166E-4</v>
      </c>
      <c r="N3" s="61">
        <f t="shared" si="0"/>
        <v>7.8127518212678382E-6</v>
      </c>
      <c r="O3" s="61">
        <f t="shared" si="0"/>
        <v>5.0038082455294841E-8</v>
      </c>
      <c r="P3" s="61">
        <f>IF(P$2 &gt; $W$2, 0, 1 - _xlfn.NORM.DIST(P$2 - 0.5, MIN($W$2, ($B3/60)*$V$2)*$F3, SQRT(MIN($W$2, ($B3/60)*$V$2)*$F3*(1-$F3) + (($C3/60)*$V$2 * _xlfn.NORM.DIST($W$2, ($B3/60)*$V$2, ($C3/60)*$V$2, TRUE) * $F3)^2), TRUE))</f>
        <v>0.95776489564622558</v>
      </c>
      <c r="Q3" s="61">
        <f t="shared" ref="Q3:T7" si="1">IF(Q$2 &gt; $W$2, 0, 1 - _xlfn.NORM.DIST(Q$2 - 0.5, MIN($W$2, ($B3/60)*$V$2)*$F3, SQRT(MIN($W$2, ($B3/60)*$V$2)*$F3*(1-$F3) + (($C3/60)*$V$2 * _xlfn.NORM.DIST($W$2, ($B3/60)*$V$2, ($C3/60)*$V$2, TRUE) * $F3)^2), TRUE))</f>
        <v>0.76310469259575797</v>
      </c>
      <c r="R3" s="61">
        <f t="shared" si="1"/>
        <v>0.38488812450584486</v>
      </c>
      <c r="S3" s="61">
        <f t="shared" si="1"/>
        <v>9.6516268768836566E-2</v>
      </c>
      <c r="T3" s="61">
        <f t="shared" si="1"/>
        <v>1.0426014367353909E-2</v>
      </c>
    </row>
    <row r="4" spans="1:23" x14ac:dyDescent="0.25">
      <c r="A4" s="55">
        <v>0.5</v>
      </c>
      <c r="B4" s="55">
        <v>43.082446467495828</v>
      </c>
      <c r="C4" s="56">
        <v>5.969998426907047</v>
      </c>
      <c r="D4" s="56">
        <v>68.5311004784689</v>
      </c>
      <c r="E4" s="56">
        <v>10.788626455779969</v>
      </c>
      <c r="F4" s="58">
        <f>_xlfn.NORM.DIST(21.385, 0, E4, TRUE) - _xlfn.NORM.DIST(-21.385, 0, E4, TRUE)</f>
        <v>0.95254090598405416</v>
      </c>
      <c r="G4">
        <f>F4*B4</f>
        <v>41.037792590157991</v>
      </c>
      <c r="H4" s="61">
        <f t="shared" si="0"/>
        <v>0.99976193168754013</v>
      </c>
      <c r="I4" s="61">
        <f t="shared" si="0"/>
        <v>0.99646490236845398</v>
      </c>
      <c r="J4" s="61">
        <f t="shared" si="0"/>
        <v>0.97083471612114924</v>
      </c>
      <c r="K4" s="61">
        <f t="shared" si="0"/>
        <v>0.86277914978388326</v>
      </c>
      <c r="L4" s="61">
        <f t="shared" si="0"/>
        <v>0.61507705268633983</v>
      </c>
      <c r="M4" s="61">
        <f t="shared" si="0"/>
        <v>0.30581856483384795</v>
      </c>
      <c r="N4" s="61">
        <f t="shared" si="0"/>
        <v>9.5427771665146377E-2</v>
      </c>
      <c r="O4" s="61">
        <f t="shared" si="0"/>
        <v>1.7499636483525483E-2</v>
      </c>
      <c r="P4" s="61">
        <f t="shared" ref="P4:P7" si="2">IF(P$2 &gt; $W$2, 0, 1 - _xlfn.NORM.DIST(P$2 - 0.5, MIN($W$2, ($B4/60)*$V$2)*$F4, SQRT(MIN($W$2, ($B4/60)*$V$2)*$F4*(1-$F4) + (($C4/60)*$V$2 * _xlfn.NORM.DIST($W$2, ($B4/60)*$V$2, ($C4/60)*$V$2, TRUE) * $F4)^2), TRUE))</f>
        <v>0.99999998042874794</v>
      </c>
      <c r="Q4" s="61">
        <f t="shared" si="1"/>
        <v>0.99998416573569204</v>
      </c>
      <c r="R4" s="61">
        <f t="shared" si="1"/>
        <v>0.99765486328282693</v>
      </c>
      <c r="S4" s="61">
        <f t="shared" si="1"/>
        <v>0.93241434778982812</v>
      </c>
      <c r="T4" s="61">
        <f t="shared" si="1"/>
        <v>0.56374175516638803</v>
      </c>
    </row>
    <row r="5" spans="1:23" x14ac:dyDescent="0.25">
      <c r="A5" s="55">
        <v>0.6</v>
      </c>
      <c r="B5" s="55">
        <v>43.807040417209905</v>
      </c>
      <c r="C5" s="56">
        <v>7.8663086701593627</v>
      </c>
      <c r="D5" s="56">
        <v>65.115384615384613</v>
      </c>
      <c r="E5" s="56">
        <v>12.113882690787202</v>
      </c>
      <c r="F5" s="58">
        <f>_xlfn.NORM.DIST(21.385, 0, E5, TRUE) - _xlfn.NORM.DIST(-21.385, 0, E5, TRUE)</f>
        <v>0.92249167226534112</v>
      </c>
      <c r="G5">
        <f>F5*B5</f>
        <v>40.411629971467349</v>
      </c>
      <c r="H5" s="61">
        <f t="shared" si="0"/>
        <v>0.99616920333634418</v>
      </c>
      <c r="I5" s="61">
        <f t="shared" si="0"/>
        <v>0.97925161829567231</v>
      </c>
      <c r="J5" s="61">
        <f t="shared" si="0"/>
        <v>0.92079417474301772</v>
      </c>
      <c r="K5" s="61">
        <f t="shared" si="0"/>
        <v>0.78299129207556029</v>
      </c>
      <c r="L5" s="61">
        <f t="shared" si="0"/>
        <v>0.56128868796288511</v>
      </c>
      <c r="M5" s="61">
        <f t="shared" si="0"/>
        <v>0.31779955157294304</v>
      </c>
      <c r="N5" s="61">
        <f t="shared" si="0"/>
        <v>0.13523972413647023</v>
      </c>
      <c r="O5" s="61">
        <f t="shared" si="0"/>
        <v>4.1810017112676512E-2</v>
      </c>
      <c r="P5" s="61">
        <f t="shared" si="2"/>
        <v>0.99998306884080768</v>
      </c>
      <c r="Q5" s="61">
        <f t="shared" si="1"/>
        <v>0.99895550363432284</v>
      </c>
      <c r="R5" s="61">
        <f t="shared" si="1"/>
        <v>0.9777184389137954</v>
      </c>
      <c r="S5" s="61">
        <f t="shared" si="1"/>
        <v>0.82645031316347495</v>
      </c>
      <c r="T5" s="61">
        <f t="shared" si="1"/>
        <v>0.44895810295391736</v>
      </c>
    </row>
    <row r="6" spans="1:23" x14ac:dyDescent="0.25">
      <c r="A6" s="55">
        <v>0.75</v>
      </c>
      <c r="B6" s="55">
        <v>53.063802905874915</v>
      </c>
      <c r="C6" s="56">
        <v>10.876230117440507</v>
      </c>
      <c r="D6" s="56">
        <v>56.666666666666664</v>
      </c>
      <c r="E6" s="56">
        <v>14.803845654215872</v>
      </c>
      <c r="F6" s="58">
        <f>_xlfn.NORM.DIST(21.385, 0, E6, TRUE) - _xlfn.NORM.DIST(-21.385, 0, E6, TRUE)</f>
        <v>0.85141766323462797</v>
      </c>
      <c r="G6">
        <f>F6*B6</f>
        <v>45.179459072462883</v>
      </c>
      <c r="H6" s="61">
        <f t="shared" si="0"/>
        <v>0.99284568524933581</v>
      </c>
      <c r="I6" s="61">
        <f t="shared" si="0"/>
        <v>0.97584725533361616</v>
      </c>
      <c r="J6" s="61">
        <f t="shared" si="0"/>
        <v>0.93318264686627428</v>
      </c>
      <c r="K6" s="61">
        <f t="shared" si="0"/>
        <v>0.84735902525244522</v>
      </c>
      <c r="L6" s="61">
        <f t="shared" si="0"/>
        <v>0.70898527594515315</v>
      </c>
      <c r="M6" s="61">
        <f t="shared" si="0"/>
        <v>0.53016049631633466</v>
      </c>
      <c r="N6" s="61">
        <f t="shared" si="0"/>
        <v>0.34491855788538306</v>
      </c>
      <c r="O6" s="61">
        <f t="shared" si="0"/>
        <v>0.19110662977978254</v>
      </c>
      <c r="P6" s="61">
        <f t="shared" si="2"/>
        <v>0.99927266981581164</v>
      </c>
      <c r="Q6" s="61">
        <f t="shared" si="1"/>
        <v>0.98686384629681678</v>
      </c>
      <c r="R6" s="61">
        <f t="shared" si="1"/>
        <v>0.89629977543798078</v>
      </c>
      <c r="S6" s="61">
        <f t="shared" si="1"/>
        <v>0.61765541546167335</v>
      </c>
      <c r="T6" s="61">
        <f t="shared" si="1"/>
        <v>0.25395736171909966</v>
      </c>
    </row>
    <row r="7" spans="1:23" x14ac:dyDescent="0.25">
      <c r="A7" s="55">
        <v>1</v>
      </c>
      <c r="B7" s="55">
        <v>70.48458149779735</v>
      </c>
      <c r="C7" s="56">
        <v>9.1508649349417936</v>
      </c>
      <c r="D7" s="56">
        <v>41.769230769230766</v>
      </c>
      <c r="E7" s="56">
        <v>18.084927851241634</v>
      </c>
      <c r="F7" s="58">
        <f>_xlfn.NORM.DIST(21.385, 0, E7, TRUE) - _xlfn.NORM.DIST(-21.385, 0, E7, TRUE)</f>
        <v>0.76298326735887789</v>
      </c>
      <c r="G7">
        <f>F7*B7</f>
        <v>53.778556289612531</v>
      </c>
      <c r="H7" s="61">
        <f t="shared" si="0"/>
        <v>0.99953090708594905</v>
      </c>
      <c r="I7" s="61">
        <f t="shared" si="0"/>
        <v>0.99761702398908125</v>
      </c>
      <c r="J7" s="61">
        <f t="shared" si="0"/>
        <v>0.99026601686269577</v>
      </c>
      <c r="K7" s="61">
        <f t="shared" si="0"/>
        <v>0.96787579673055801</v>
      </c>
      <c r="L7" s="61">
        <f t="shared" si="0"/>
        <v>0.913788190804529</v>
      </c>
      <c r="M7" s="61">
        <f t="shared" si="0"/>
        <v>0.81015370663288144</v>
      </c>
      <c r="N7" s="61">
        <f t="shared" si="0"/>
        <v>0.65264384891716254</v>
      </c>
      <c r="O7" s="61">
        <f t="shared" si="0"/>
        <v>0.46274266772157913</v>
      </c>
      <c r="P7" s="61">
        <f t="shared" si="2"/>
        <v>0.98480015509750729</v>
      </c>
      <c r="Q7" s="61">
        <f t="shared" si="1"/>
        <v>0.90880750490873041</v>
      </c>
      <c r="R7" s="61">
        <f t="shared" si="1"/>
        <v>0.69218443980071798</v>
      </c>
      <c r="S7" s="61">
        <f t="shared" si="1"/>
        <v>0.37094784017606774</v>
      </c>
      <c r="T7" s="61">
        <f t="shared" si="1"/>
        <v>0.12287387076067158</v>
      </c>
    </row>
    <row r="11" spans="1:23" x14ac:dyDescent="0.25">
      <c r="U11" s="56" t="s">
        <v>117</v>
      </c>
      <c r="V11" s="56">
        <v>1.2</v>
      </c>
    </row>
    <row r="12" spans="1:23" x14ac:dyDescent="0.25">
      <c r="U12" s="56" t="s">
        <v>118</v>
      </c>
      <c r="V12" s="56">
        <v>11</v>
      </c>
    </row>
    <row r="16" spans="1:23" x14ac:dyDescent="0.25">
      <c r="U16" s="56" t="s">
        <v>119</v>
      </c>
      <c r="V16" s="56">
        <f>20-SUM(V11:V15)</f>
        <v>7.8000000000000007</v>
      </c>
    </row>
  </sheetData>
  <mergeCells count="2">
    <mergeCell ref="H1:O1"/>
    <mergeCell ref="P1:T1"/>
  </mergeCells>
  <conditionalFormatting sqref="H3:T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52038-32E1-43F8-9656-1F8FB6037F0D}">
  <dimension ref="A1:N12"/>
  <sheetViews>
    <sheetView workbookViewId="0">
      <selection activeCell="E14" sqref="E14"/>
    </sheetView>
  </sheetViews>
  <sheetFormatPr defaultRowHeight="15" x14ac:dyDescent="0.25"/>
  <sheetData>
    <row r="1" spans="1:14" x14ac:dyDescent="0.25">
      <c r="A1" t="s">
        <v>125</v>
      </c>
      <c r="C1" t="s">
        <v>126</v>
      </c>
      <c r="I1" t="s">
        <v>127</v>
      </c>
    </row>
    <row r="2" spans="1:14" x14ac:dyDescent="0.25">
      <c r="B2" t="s">
        <v>124</v>
      </c>
      <c r="C2" t="s">
        <v>123</v>
      </c>
      <c r="D2" t="s">
        <v>122</v>
      </c>
      <c r="E2" t="s">
        <v>126</v>
      </c>
      <c r="I2" t="s">
        <v>128</v>
      </c>
      <c r="J2" t="s">
        <v>46</v>
      </c>
      <c r="K2" t="s">
        <v>124</v>
      </c>
      <c r="L2" t="s">
        <v>129</v>
      </c>
      <c r="M2" t="s">
        <v>46</v>
      </c>
      <c r="N2" t="s">
        <v>130</v>
      </c>
    </row>
    <row r="3" spans="1:14" x14ac:dyDescent="0.25">
      <c r="A3">
        <v>0.1</v>
      </c>
      <c r="B3">
        <v>12.6</v>
      </c>
      <c r="C3">
        <v>13</v>
      </c>
      <c r="D3">
        <v>12.4</v>
      </c>
      <c r="E3">
        <f t="shared" ref="E3:E13" si="0">AVERAGE(C3:D3)</f>
        <v>12.7</v>
      </c>
      <c r="F3">
        <f>E3*6*PI()/60</f>
        <v>3.9898226700590365</v>
      </c>
      <c r="I3">
        <v>0.4</v>
      </c>
      <c r="J3">
        <v>-0.4</v>
      </c>
      <c r="L3">
        <v>687</v>
      </c>
      <c r="M3">
        <v>1385</v>
      </c>
      <c r="N3">
        <v>199</v>
      </c>
    </row>
    <row r="4" spans="1:14" x14ac:dyDescent="0.25">
      <c r="A4">
        <v>0.2</v>
      </c>
      <c r="C4">
        <v>64</v>
      </c>
      <c r="D4">
        <v>62</v>
      </c>
      <c r="E4">
        <f t="shared" si="0"/>
        <v>63</v>
      </c>
      <c r="F4">
        <f t="shared" ref="F4:F13" si="1">E4*6*PI()/60</f>
        <v>19.792033717615698</v>
      </c>
      <c r="I4">
        <v>0.6</v>
      </c>
      <c r="J4">
        <v>-0.6</v>
      </c>
      <c r="K4">
        <v>13</v>
      </c>
      <c r="L4">
        <v>1112</v>
      </c>
      <c r="M4">
        <v>2242</v>
      </c>
      <c r="N4">
        <v>314</v>
      </c>
    </row>
    <row r="5" spans="1:14" x14ac:dyDescent="0.25">
      <c r="A5">
        <v>0.3</v>
      </c>
      <c r="B5">
        <v>12.3</v>
      </c>
      <c r="C5">
        <v>118.6</v>
      </c>
      <c r="D5">
        <v>116.5</v>
      </c>
      <c r="E5">
        <f t="shared" si="0"/>
        <v>117.55</v>
      </c>
      <c r="F5">
        <f t="shared" si="1"/>
        <v>36.929421642948014</v>
      </c>
      <c r="I5">
        <v>0.8</v>
      </c>
      <c r="J5">
        <v>-0.8</v>
      </c>
      <c r="K5">
        <v>12.8</v>
      </c>
      <c r="L5">
        <v>1550</v>
      </c>
      <c r="M5">
        <v>3115</v>
      </c>
      <c r="N5">
        <v>430</v>
      </c>
    </row>
    <row r="6" spans="1:14" x14ac:dyDescent="0.25">
      <c r="A6">
        <v>0.4</v>
      </c>
      <c r="B6">
        <v>12.2</v>
      </c>
      <c r="C6">
        <v>172</v>
      </c>
      <c r="D6">
        <v>169</v>
      </c>
      <c r="E6">
        <f t="shared" si="0"/>
        <v>170.5</v>
      </c>
      <c r="F6">
        <f t="shared" si="1"/>
        <v>53.564154743705977</v>
      </c>
      <c r="I6">
        <v>0.9</v>
      </c>
      <c r="J6">
        <v>-0.9</v>
      </c>
      <c r="K6">
        <v>12.6</v>
      </c>
      <c r="L6">
        <v>1740</v>
      </c>
      <c r="M6">
        <v>3505</v>
      </c>
      <c r="N6">
        <v>484</v>
      </c>
    </row>
    <row r="7" spans="1:14" x14ac:dyDescent="0.25">
      <c r="A7">
        <v>0.5</v>
      </c>
      <c r="B7">
        <v>12.1</v>
      </c>
      <c r="C7">
        <v>228</v>
      </c>
      <c r="D7">
        <v>222</v>
      </c>
      <c r="E7">
        <f t="shared" si="0"/>
        <v>225</v>
      </c>
      <c r="F7">
        <f t="shared" si="1"/>
        <v>70.685834705770347</v>
      </c>
      <c r="I7">
        <v>1</v>
      </c>
      <c r="J7">
        <v>-1</v>
      </c>
      <c r="K7">
        <v>12.4</v>
      </c>
      <c r="L7">
        <v>1888</v>
      </c>
      <c r="M7">
        <v>3790</v>
      </c>
      <c r="N7">
        <v>544</v>
      </c>
    </row>
    <row r="8" spans="1:14" x14ac:dyDescent="0.25">
      <c r="A8">
        <v>0.6</v>
      </c>
      <c r="B8">
        <v>12.1</v>
      </c>
      <c r="C8">
        <v>281</v>
      </c>
      <c r="D8">
        <v>281</v>
      </c>
      <c r="E8">
        <f t="shared" si="0"/>
        <v>281</v>
      </c>
      <c r="F8">
        <f t="shared" si="1"/>
        <v>88.278753565873188</v>
      </c>
      <c r="I8">
        <v>0.6</v>
      </c>
      <c r="J8">
        <v>-1</v>
      </c>
      <c r="K8">
        <v>12.3</v>
      </c>
      <c r="L8">
        <v>1900</v>
      </c>
      <c r="M8">
        <v>3790</v>
      </c>
      <c r="N8">
        <v>313</v>
      </c>
    </row>
    <row r="9" spans="1:14" x14ac:dyDescent="0.25">
      <c r="A9">
        <v>0.7</v>
      </c>
      <c r="B9">
        <v>12.1</v>
      </c>
      <c r="C9">
        <v>336.2</v>
      </c>
      <c r="D9">
        <v>336.2</v>
      </c>
      <c r="E9">
        <f t="shared" si="0"/>
        <v>336.2</v>
      </c>
      <c r="F9">
        <f t="shared" si="1"/>
        <v>105.62034501368883</v>
      </c>
      <c r="I9">
        <v>0.8</v>
      </c>
      <c r="J9">
        <v>-1</v>
      </c>
      <c r="K9">
        <v>12.2</v>
      </c>
      <c r="L9">
        <v>1905</v>
      </c>
      <c r="M9">
        <v>3808</v>
      </c>
      <c r="N9">
        <v>428</v>
      </c>
    </row>
    <row r="10" spans="1:14" x14ac:dyDescent="0.25">
      <c r="A10">
        <v>0.8</v>
      </c>
      <c r="B10">
        <v>12</v>
      </c>
      <c r="C10">
        <v>390</v>
      </c>
      <c r="D10">
        <v>387.9</v>
      </c>
      <c r="E10">
        <f t="shared" si="0"/>
        <v>388.95</v>
      </c>
      <c r="F10">
        <f t="shared" si="1"/>
        <v>122.19224626137499</v>
      </c>
      <c r="I10">
        <v>0.5</v>
      </c>
      <c r="J10">
        <v>-1</v>
      </c>
    </row>
    <row r="11" spans="1:14" x14ac:dyDescent="0.25">
      <c r="A11">
        <v>0.9</v>
      </c>
      <c r="B11">
        <v>11.9</v>
      </c>
      <c r="C11">
        <v>445</v>
      </c>
      <c r="D11">
        <v>444</v>
      </c>
      <c r="E11">
        <f t="shared" si="0"/>
        <v>444.5</v>
      </c>
      <c r="F11">
        <f t="shared" si="1"/>
        <v>139.64379345206632</v>
      </c>
    </row>
    <row r="12" spans="1:14" x14ac:dyDescent="0.25">
      <c r="A12">
        <v>1</v>
      </c>
      <c r="B12">
        <v>11.8</v>
      </c>
      <c r="C12">
        <v>500</v>
      </c>
      <c r="D12">
        <v>498</v>
      </c>
      <c r="E12">
        <f t="shared" si="0"/>
        <v>499</v>
      </c>
      <c r="F12">
        <f t="shared" si="1"/>
        <v>156.76547341413067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346B-E3F5-4DC3-A651-117CC0AA7E6C}">
  <dimension ref="A15:K176"/>
  <sheetViews>
    <sheetView zoomScaleNormal="100" workbookViewId="0">
      <pane ySplit="15" topLeftCell="A122" activePane="bottomLeft" state="frozen"/>
      <selection pane="bottomLeft" activeCell="G8" sqref="G8"/>
    </sheetView>
  </sheetViews>
  <sheetFormatPr defaultRowHeight="15" x14ac:dyDescent="0.25"/>
  <cols>
    <col min="1" max="2" width="10.85546875" customWidth="1"/>
    <col min="3" max="5" width="12.140625" customWidth="1"/>
    <col min="6" max="6" width="13" customWidth="1"/>
    <col min="7" max="8" width="11.28515625" customWidth="1"/>
    <col min="9" max="9" width="11.42578125" customWidth="1"/>
  </cols>
  <sheetData>
    <row r="15" spans="1:11" s="66" customFormat="1" ht="30" customHeight="1" thickBot="1" x14ac:dyDescent="0.3">
      <c r="A15" s="67" t="s">
        <v>136</v>
      </c>
      <c r="B15" s="67" t="s">
        <v>140</v>
      </c>
      <c r="C15" s="67" t="s">
        <v>131</v>
      </c>
      <c r="D15" s="67" t="s">
        <v>135</v>
      </c>
      <c r="E15" s="67" t="s">
        <v>1</v>
      </c>
      <c r="F15" s="67" t="s">
        <v>132</v>
      </c>
      <c r="G15" s="67" t="s">
        <v>134</v>
      </c>
      <c r="H15" s="67" t="s">
        <v>139</v>
      </c>
      <c r="I15" s="67" t="s">
        <v>133</v>
      </c>
      <c r="J15" s="67" t="s">
        <v>2</v>
      </c>
      <c r="K15" s="67" t="s">
        <v>141</v>
      </c>
    </row>
    <row r="16" spans="1:11" x14ac:dyDescent="0.25">
      <c r="A16" t="s">
        <v>137</v>
      </c>
      <c r="B16">
        <v>0</v>
      </c>
      <c r="C16">
        <v>48</v>
      </c>
      <c r="D16">
        <v>300</v>
      </c>
      <c r="E16">
        <v>129</v>
      </c>
      <c r="F16">
        <v>0.4</v>
      </c>
      <c r="G16">
        <v>0.2</v>
      </c>
      <c r="H16">
        <v>0</v>
      </c>
      <c r="I16">
        <v>50</v>
      </c>
      <c r="J16">
        <f>I16-C16</f>
        <v>2</v>
      </c>
    </row>
    <row r="17" spans="1:10" x14ac:dyDescent="0.25">
      <c r="A17" t="s">
        <v>137</v>
      </c>
      <c r="B17">
        <v>0</v>
      </c>
      <c r="C17">
        <v>48</v>
      </c>
      <c r="D17">
        <v>300</v>
      </c>
      <c r="E17">
        <v>129</v>
      </c>
      <c r="F17">
        <v>0.4</v>
      </c>
      <c r="G17">
        <v>0.2</v>
      </c>
      <c r="H17">
        <v>0</v>
      </c>
      <c r="I17">
        <v>49.25</v>
      </c>
      <c r="J17">
        <f>I17-C17</f>
        <v>1.25</v>
      </c>
    </row>
    <row r="18" spans="1:10" x14ac:dyDescent="0.25">
      <c r="A18" t="s">
        <v>137</v>
      </c>
      <c r="B18">
        <v>0</v>
      </c>
      <c r="C18">
        <v>48</v>
      </c>
      <c r="D18">
        <v>300</v>
      </c>
      <c r="E18">
        <v>129</v>
      </c>
      <c r="F18">
        <v>0.4</v>
      </c>
      <c r="G18">
        <v>0.2</v>
      </c>
      <c r="H18">
        <v>0</v>
      </c>
      <c r="I18">
        <v>49.5</v>
      </c>
      <c r="J18">
        <f>I18-C18</f>
        <v>1.5</v>
      </c>
    </row>
    <row r="19" spans="1:10" x14ac:dyDescent="0.25">
      <c r="A19" t="s">
        <v>137</v>
      </c>
      <c r="B19">
        <v>0</v>
      </c>
      <c r="C19">
        <v>48</v>
      </c>
      <c r="D19">
        <v>300</v>
      </c>
      <c r="E19">
        <v>129</v>
      </c>
      <c r="F19">
        <v>0.4</v>
      </c>
      <c r="G19">
        <v>0.2</v>
      </c>
      <c r="H19">
        <v>0</v>
      </c>
      <c r="I19">
        <v>49.25</v>
      </c>
      <c r="J19">
        <f>I19-C19</f>
        <v>1.25</v>
      </c>
    </row>
    <row r="20" spans="1:10" x14ac:dyDescent="0.25">
      <c r="A20" t="s">
        <v>137</v>
      </c>
      <c r="B20">
        <v>0</v>
      </c>
      <c r="C20">
        <v>48</v>
      </c>
      <c r="D20">
        <v>300</v>
      </c>
      <c r="E20">
        <v>129</v>
      </c>
      <c r="F20">
        <v>0.4</v>
      </c>
      <c r="G20">
        <v>0</v>
      </c>
      <c r="H20">
        <v>0</v>
      </c>
      <c r="I20">
        <v>45.5</v>
      </c>
      <c r="J20">
        <f>I20-C20</f>
        <v>-2.5</v>
      </c>
    </row>
    <row r="21" spans="1:10" x14ac:dyDescent="0.25">
      <c r="A21" t="s">
        <v>137</v>
      </c>
      <c r="B21">
        <v>0</v>
      </c>
      <c r="C21">
        <v>48</v>
      </c>
      <c r="D21">
        <v>300</v>
      </c>
      <c r="E21">
        <v>129</v>
      </c>
      <c r="F21">
        <v>0.4</v>
      </c>
      <c r="G21">
        <v>0</v>
      </c>
      <c r="H21">
        <v>0</v>
      </c>
      <c r="I21">
        <v>46</v>
      </c>
      <c r="J21">
        <f>I21-C21</f>
        <v>-2</v>
      </c>
    </row>
    <row r="22" spans="1:10" x14ac:dyDescent="0.25">
      <c r="A22" t="s">
        <v>137</v>
      </c>
      <c r="B22">
        <v>0</v>
      </c>
      <c r="C22">
        <v>48</v>
      </c>
      <c r="D22">
        <v>300</v>
      </c>
      <c r="E22">
        <v>129</v>
      </c>
      <c r="F22">
        <v>0.4</v>
      </c>
      <c r="G22">
        <v>0</v>
      </c>
      <c r="H22">
        <v>0</v>
      </c>
      <c r="I22">
        <v>45.5</v>
      </c>
      <c r="J22">
        <f>I22-C22</f>
        <v>-2.5</v>
      </c>
    </row>
    <row r="23" spans="1:10" x14ac:dyDescent="0.25">
      <c r="A23" t="s">
        <v>137</v>
      </c>
      <c r="B23">
        <v>0</v>
      </c>
      <c r="C23">
        <v>48</v>
      </c>
      <c r="D23">
        <v>300</v>
      </c>
      <c r="E23">
        <v>129</v>
      </c>
      <c r="F23">
        <v>0.4</v>
      </c>
      <c r="G23">
        <v>0</v>
      </c>
      <c r="H23">
        <v>0</v>
      </c>
      <c r="I23">
        <v>46</v>
      </c>
      <c r="J23">
        <f>I23-C23</f>
        <v>-2</v>
      </c>
    </row>
    <row r="24" spans="1:10" x14ac:dyDescent="0.25">
      <c r="A24" t="s">
        <v>137</v>
      </c>
      <c r="B24">
        <v>0</v>
      </c>
      <c r="C24">
        <v>48</v>
      </c>
      <c r="D24">
        <v>300</v>
      </c>
      <c r="E24">
        <v>129</v>
      </c>
      <c r="F24">
        <v>1</v>
      </c>
      <c r="G24">
        <v>0</v>
      </c>
      <c r="H24">
        <v>0</v>
      </c>
      <c r="I24">
        <v>55</v>
      </c>
      <c r="J24">
        <f>I24-C24</f>
        <v>7</v>
      </c>
    </row>
    <row r="25" spans="1:10" x14ac:dyDescent="0.25">
      <c r="A25" t="s">
        <v>137</v>
      </c>
      <c r="B25">
        <v>0</v>
      </c>
      <c r="C25">
        <v>48</v>
      </c>
      <c r="D25">
        <v>300</v>
      </c>
      <c r="E25">
        <v>129</v>
      </c>
      <c r="F25">
        <v>1</v>
      </c>
      <c r="G25">
        <v>0</v>
      </c>
      <c r="H25">
        <v>0</v>
      </c>
      <c r="I25">
        <v>55</v>
      </c>
      <c r="J25">
        <f>I25-C25</f>
        <v>7</v>
      </c>
    </row>
    <row r="26" spans="1:10" x14ac:dyDescent="0.25">
      <c r="A26" t="s">
        <v>137</v>
      </c>
      <c r="B26">
        <v>0</v>
      </c>
      <c r="C26">
        <v>48</v>
      </c>
      <c r="D26">
        <v>300</v>
      </c>
      <c r="E26">
        <v>129</v>
      </c>
      <c r="F26">
        <v>1</v>
      </c>
      <c r="G26">
        <v>0</v>
      </c>
      <c r="H26">
        <v>0</v>
      </c>
      <c r="I26">
        <v>55.25</v>
      </c>
      <c r="J26">
        <f>I26-C26</f>
        <v>7.25</v>
      </c>
    </row>
    <row r="27" spans="1:10" x14ac:dyDescent="0.25">
      <c r="A27" t="s">
        <v>137</v>
      </c>
      <c r="B27">
        <v>0</v>
      </c>
      <c r="C27">
        <v>48</v>
      </c>
      <c r="D27">
        <v>300</v>
      </c>
      <c r="E27">
        <v>129</v>
      </c>
      <c r="F27">
        <v>1</v>
      </c>
      <c r="G27">
        <v>0.2</v>
      </c>
      <c r="H27">
        <v>0</v>
      </c>
      <c r="I27">
        <v>56.5</v>
      </c>
      <c r="J27">
        <f>I27-C27</f>
        <v>8.5</v>
      </c>
    </row>
    <row r="28" spans="1:10" x14ac:dyDescent="0.25">
      <c r="A28" t="s">
        <v>137</v>
      </c>
      <c r="B28">
        <v>0</v>
      </c>
      <c r="C28">
        <v>48</v>
      </c>
      <c r="D28">
        <v>300</v>
      </c>
      <c r="E28">
        <v>129</v>
      </c>
      <c r="F28">
        <v>1</v>
      </c>
      <c r="G28">
        <v>0.2</v>
      </c>
      <c r="H28">
        <v>0</v>
      </c>
      <c r="I28">
        <v>54.5</v>
      </c>
      <c r="J28">
        <f>I28-C28</f>
        <v>6.5</v>
      </c>
    </row>
    <row r="29" spans="1:10" x14ac:dyDescent="0.25">
      <c r="A29" t="s">
        <v>137</v>
      </c>
      <c r="B29">
        <v>0</v>
      </c>
      <c r="C29">
        <v>48</v>
      </c>
      <c r="D29">
        <v>300</v>
      </c>
      <c r="E29">
        <v>129</v>
      </c>
      <c r="F29">
        <v>1</v>
      </c>
      <c r="G29">
        <v>0.2</v>
      </c>
      <c r="H29">
        <v>0</v>
      </c>
      <c r="I29">
        <v>55</v>
      </c>
      <c r="J29">
        <f>I29-C29</f>
        <v>7</v>
      </c>
    </row>
    <row r="30" spans="1:10" x14ac:dyDescent="0.25">
      <c r="A30" t="s">
        <v>137</v>
      </c>
      <c r="B30">
        <v>0</v>
      </c>
      <c r="C30">
        <v>48</v>
      </c>
      <c r="D30">
        <v>300</v>
      </c>
      <c r="E30">
        <v>129</v>
      </c>
      <c r="F30">
        <v>0.8</v>
      </c>
      <c r="G30">
        <v>0.2</v>
      </c>
      <c r="H30">
        <v>0</v>
      </c>
      <c r="I30">
        <v>56</v>
      </c>
      <c r="J30">
        <f>I30-C30</f>
        <v>8</v>
      </c>
    </row>
    <row r="31" spans="1:10" x14ac:dyDescent="0.25">
      <c r="A31" t="s">
        <v>137</v>
      </c>
      <c r="B31">
        <v>0</v>
      </c>
      <c r="C31">
        <v>96</v>
      </c>
      <c r="D31">
        <v>300</v>
      </c>
      <c r="E31">
        <v>129</v>
      </c>
      <c r="F31">
        <v>0.8</v>
      </c>
      <c r="G31">
        <v>0.2</v>
      </c>
      <c r="H31">
        <v>0</v>
      </c>
      <c r="I31">
        <v>113</v>
      </c>
      <c r="J31">
        <f>I31-C31</f>
        <v>17</v>
      </c>
    </row>
    <row r="32" spans="1:10" x14ac:dyDescent="0.25">
      <c r="A32" t="s">
        <v>137</v>
      </c>
      <c r="B32">
        <v>0</v>
      </c>
      <c r="C32">
        <v>96</v>
      </c>
      <c r="D32">
        <v>300</v>
      </c>
      <c r="E32">
        <v>129</v>
      </c>
      <c r="F32">
        <v>0.8</v>
      </c>
      <c r="G32">
        <v>0.2</v>
      </c>
      <c r="H32">
        <v>0</v>
      </c>
      <c r="I32">
        <v>110.5</v>
      </c>
      <c r="J32">
        <f>I32-C32</f>
        <v>14.5</v>
      </c>
    </row>
    <row r="33" spans="1:10" x14ac:dyDescent="0.25">
      <c r="A33" t="s">
        <v>137</v>
      </c>
      <c r="B33">
        <v>0</v>
      </c>
      <c r="C33">
        <v>96</v>
      </c>
      <c r="D33">
        <v>300</v>
      </c>
      <c r="E33">
        <v>129</v>
      </c>
      <c r="F33">
        <v>0.8</v>
      </c>
      <c r="G33">
        <v>0.2</v>
      </c>
      <c r="H33">
        <v>0</v>
      </c>
      <c r="I33">
        <v>110</v>
      </c>
      <c r="J33">
        <f>I33-C33</f>
        <v>14</v>
      </c>
    </row>
    <row r="34" spans="1:10" x14ac:dyDescent="0.25">
      <c r="A34" t="s">
        <v>137</v>
      </c>
      <c r="B34">
        <v>0</v>
      </c>
      <c r="C34">
        <v>96</v>
      </c>
      <c r="D34">
        <v>300</v>
      </c>
      <c r="E34">
        <v>129</v>
      </c>
      <c r="F34">
        <v>0.8</v>
      </c>
      <c r="G34">
        <v>0.2</v>
      </c>
      <c r="H34">
        <v>0</v>
      </c>
      <c r="I34">
        <v>110.5</v>
      </c>
      <c r="J34">
        <f>I34-C34</f>
        <v>14.5</v>
      </c>
    </row>
    <row r="35" spans="1:10" x14ac:dyDescent="0.25">
      <c r="A35" t="s">
        <v>137</v>
      </c>
      <c r="B35">
        <v>0</v>
      </c>
      <c r="C35">
        <v>96</v>
      </c>
      <c r="D35">
        <v>300</v>
      </c>
      <c r="E35">
        <v>129</v>
      </c>
      <c r="F35">
        <v>0.4</v>
      </c>
      <c r="G35">
        <v>0.2</v>
      </c>
      <c r="H35">
        <v>0</v>
      </c>
      <c r="I35">
        <v>98.5</v>
      </c>
      <c r="J35">
        <f>I35-C35</f>
        <v>2.5</v>
      </c>
    </row>
    <row r="36" spans="1:10" x14ac:dyDescent="0.25">
      <c r="A36" t="s">
        <v>137</v>
      </c>
      <c r="B36">
        <v>0</v>
      </c>
      <c r="C36">
        <v>96</v>
      </c>
      <c r="D36">
        <v>300</v>
      </c>
      <c r="E36">
        <v>129</v>
      </c>
      <c r="F36">
        <v>0.4</v>
      </c>
      <c r="G36">
        <v>0.2</v>
      </c>
      <c r="H36">
        <v>0</v>
      </c>
      <c r="I36">
        <v>96</v>
      </c>
      <c r="J36">
        <f>I36-C36</f>
        <v>0</v>
      </c>
    </row>
    <row r="37" spans="1:10" x14ac:dyDescent="0.25">
      <c r="A37" t="s">
        <v>137</v>
      </c>
      <c r="B37">
        <v>0</v>
      </c>
      <c r="C37">
        <v>96</v>
      </c>
      <c r="D37">
        <v>300</v>
      </c>
      <c r="E37">
        <v>129</v>
      </c>
      <c r="F37">
        <v>0.4</v>
      </c>
      <c r="G37">
        <v>0.2</v>
      </c>
      <c r="H37">
        <v>0</v>
      </c>
      <c r="I37">
        <v>95.5</v>
      </c>
      <c r="J37">
        <f>I37-C37</f>
        <v>-0.5</v>
      </c>
    </row>
    <row r="38" spans="1:10" x14ac:dyDescent="0.25">
      <c r="A38" t="s">
        <v>137</v>
      </c>
      <c r="B38">
        <v>0</v>
      </c>
      <c r="C38">
        <v>96</v>
      </c>
      <c r="D38">
        <v>300</v>
      </c>
      <c r="E38">
        <v>129</v>
      </c>
      <c r="F38">
        <v>0.4</v>
      </c>
      <c r="G38">
        <v>0</v>
      </c>
      <c r="H38">
        <v>0</v>
      </c>
      <c r="I38">
        <v>94.5</v>
      </c>
      <c r="J38">
        <f>I38-C38</f>
        <v>-1.5</v>
      </c>
    </row>
    <row r="39" spans="1:10" x14ac:dyDescent="0.25">
      <c r="A39" t="s">
        <v>137</v>
      </c>
      <c r="B39">
        <v>0</v>
      </c>
      <c r="C39">
        <v>96</v>
      </c>
      <c r="D39">
        <v>300</v>
      </c>
      <c r="E39">
        <v>129</v>
      </c>
      <c r="F39">
        <v>0.4</v>
      </c>
      <c r="G39">
        <v>0</v>
      </c>
      <c r="H39">
        <v>0</v>
      </c>
      <c r="I39">
        <v>93</v>
      </c>
      <c r="J39">
        <f>I39-C39</f>
        <v>-3</v>
      </c>
    </row>
    <row r="40" spans="1:10" x14ac:dyDescent="0.25">
      <c r="A40" t="s">
        <v>137</v>
      </c>
      <c r="B40">
        <v>0</v>
      </c>
      <c r="C40">
        <v>96</v>
      </c>
      <c r="D40">
        <v>300</v>
      </c>
      <c r="E40">
        <v>129</v>
      </c>
      <c r="F40">
        <v>0.4</v>
      </c>
      <c r="G40">
        <v>0</v>
      </c>
      <c r="H40">
        <v>0</v>
      </c>
      <c r="I40">
        <v>93.5</v>
      </c>
      <c r="J40">
        <f>I40-C40</f>
        <v>-2.5</v>
      </c>
    </row>
    <row r="41" spans="1:10" x14ac:dyDescent="0.25">
      <c r="A41" t="s">
        <v>137</v>
      </c>
      <c r="B41">
        <v>0</v>
      </c>
      <c r="C41">
        <v>96</v>
      </c>
      <c r="D41">
        <v>300</v>
      </c>
      <c r="E41">
        <v>129</v>
      </c>
      <c r="F41">
        <v>0.4</v>
      </c>
      <c r="G41">
        <v>0</v>
      </c>
      <c r="H41">
        <v>0</v>
      </c>
      <c r="I41">
        <v>94</v>
      </c>
      <c r="J41">
        <f>I41-C41</f>
        <v>-2</v>
      </c>
    </row>
    <row r="42" spans="1:10" x14ac:dyDescent="0.25">
      <c r="A42" t="s">
        <v>137</v>
      </c>
      <c r="B42">
        <v>0</v>
      </c>
      <c r="C42">
        <v>96</v>
      </c>
      <c r="D42">
        <v>300</v>
      </c>
      <c r="E42">
        <v>129</v>
      </c>
      <c r="F42">
        <v>0.4</v>
      </c>
      <c r="G42">
        <v>0</v>
      </c>
      <c r="H42">
        <v>0</v>
      </c>
      <c r="I42">
        <v>94</v>
      </c>
      <c r="J42">
        <f>I42-C42</f>
        <v>-2</v>
      </c>
    </row>
    <row r="43" spans="1:10" x14ac:dyDescent="0.25">
      <c r="A43" t="s">
        <v>137</v>
      </c>
      <c r="B43">
        <v>0</v>
      </c>
      <c r="C43">
        <v>96</v>
      </c>
      <c r="D43">
        <v>300</v>
      </c>
      <c r="E43">
        <v>129</v>
      </c>
      <c r="F43">
        <v>0.8</v>
      </c>
      <c r="G43">
        <v>0</v>
      </c>
      <c r="H43">
        <v>0</v>
      </c>
      <c r="I43">
        <v>112.75</v>
      </c>
      <c r="J43">
        <f>I43-C43</f>
        <v>16.75</v>
      </c>
    </row>
    <row r="44" spans="1:10" x14ac:dyDescent="0.25">
      <c r="A44" t="s">
        <v>137</v>
      </c>
      <c r="B44">
        <v>0</v>
      </c>
      <c r="C44">
        <v>96</v>
      </c>
      <c r="D44">
        <v>300</v>
      </c>
      <c r="E44">
        <v>129</v>
      </c>
      <c r="F44">
        <v>0.8</v>
      </c>
      <c r="G44">
        <v>0</v>
      </c>
      <c r="H44">
        <v>0</v>
      </c>
      <c r="I44">
        <v>108.25</v>
      </c>
      <c r="J44">
        <f>I44-C44</f>
        <v>12.25</v>
      </c>
    </row>
    <row r="45" spans="1:10" x14ac:dyDescent="0.25">
      <c r="A45" t="s">
        <v>137</v>
      </c>
      <c r="B45">
        <v>0</v>
      </c>
      <c r="C45">
        <v>96</v>
      </c>
      <c r="D45">
        <v>300</v>
      </c>
      <c r="E45">
        <v>129</v>
      </c>
      <c r="F45">
        <v>0.8</v>
      </c>
      <c r="G45">
        <v>0</v>
      </c>
      <c r="H45">
        <v>0</v>
      </c>
      <c r="I45">
        <v>109</v>
      </c>
      <c r="J45">
        <f>I45-C45</f>
        <v>13</v>
      </c>
    </row>
    <row r="46" spans="1:10" x14ac:dyDescent="0.25">
      <c r="A46" t="s">
        <v>137</v>
      </c>
      <c r="B46">
        <v>0</v>
      </c>
      <c r="C46">
        <v>96</v>
      </c>
      <c r="D46">
        <v>300</v>
      </c>
      <c r="E46">
        <v>129</v>
      </c>
      <c r="F46">
        <v>0.8</v>
      </c>
      <c r="G46">
        <v>0</v>
      </c>
      <c r="H46">
        <v>0</v>
      </c>
      <c r="I46">
        <v>109</v>
      </c>
      <c r="J46">
        <f>I46-C46</f>
        <v>13</v>
      </c>
    </row>
    <row r="47" spans="1:10" x14ac:dyDescent="0.25">
      <c r="A47" t="s">
        <v>137</v>
      </c>
      <c r="B47">
        <v>0</v>
      </c>
      <c r="C47">
        <v>96</v>
      </c>
      <c r="D47">
        <v>300</v>
      </c>
      <c r="E47">
        <v>129</v>
      </c>
      <c r="F47">
        <v>0.4</v>
      </c>
      <c r="G47">
        <v>0.2</v>
      </c>
      <c r="H47">
        <v>0</v>
      </c>
      <c r="I47">
        <v>96</v>
      </c>
      <c r="J47">
        <f>I47-C47</f>
        <v>0</v>
      </c>
    </row>
    <row r="48" spans="1:10" x14ac:dyDescent="0.25">
      <c r="A48" t="s">
        <v>137</v>
      </c>
      <c r="B48">
        <v>0</v>
      </c>
      <c r="C48">
        <v>48</v>
      </c>
      <c r="D48">
        <v>300</v>
      </c>
      <c r="E48">
        <v>129</v>
      </c>
      <c r="F48">
        <v>0.4</v>
      </c>
      <c r="G48">
        <v>0.12</v>
      </c>
      <c r="H48">
        <v>0</v>
      </c>
      <c r="I48">
        <v>47</v>
      </c>
      <c r="J48">
        <f>I48-C48</f>
        <v>-1</v>
      </c>
    </row>
    <row r="49" spans="1:10" x14ac:dyDescent="0.25">
      <c r="A49" t="s">
        <v>137</v>
      </c>
      <c r="B49">
        <v>0</v>
      </c>
      <c r="C49">
        <v>48</v>
      </c>
      <c r="D49">
        <v>300</v>
      </c>
      <c r="E49">
        <v>129</v>
      </c>
      <c r="F49">
        <v>0.4</v>
      </c>
      <c r="G49">
        <v>0.12</v>
      </c>
      <c r="H49">
        <v>0</v>
      </c>
      <c r="I49">
        <v>44.5</v>
      </c>
      <c r="J49">
        <f>I49-C49</f>
        <v>-3.5</v>
      </c>
    </row>
    <row r="50" spans="1:10" x14ac:dyDescent="0.25">
      <c r="A50" t="s">
        <v>137</v>
      </c>
      <c r="B50">
        <v>0</v>
      </c>
      <c r="C50">
        <v>48</v>
      </c>
      <c r="D50">
        <v>300</v>
      </c>
      <c r="E50">
        <v>129</v>
      </c>
      <c r="F50">
        <v>0.4</v>
      </c>
      <c r="G50">
        <v>0.12</v>
      </c>
      <c r="H50">
        <v>0</v>
      </c>
      <c r="I50">
        <v>44.5</v>
      </c>
      <c r="J50">
        <f>I50-C50</f>
        <v>-3.5</v>
      </c>
    </row>
    <row r="51" spans="1:10" x14ac:dyDescent="0.25">
      <c r="A51" t="s">
        <v>137</v>
      </c>
      <c r="B51">
        <v>0</v>
      </c>
      <c r="C51">
        <v>48</v>
      </c>
      <c r="D51">
        <v>300</v>
      </c>
      <c r="E51">
        <v>129</v>
      </c>
      <c r="F51">
        <v>0.4</v>
      </c>
      <c r="G51">
        <v>0.12</v>
      </c>
      <c r="H51">
        <v>0</v>
      </c>
      <c r="I51">
        <v>44.5</v>
      </c>
      <c r="J51">
        <f>I51-C51</f>
        <v>-3.5</v>
      </c>
    </row>
    <row r="52" spans="1:10" x14ac:dyDescent="0.25">
      <c r="A52" t="s">
        <v>137</v>
      </c>
      <c r="B52">
        <v>0</v>
      </c>
      <c r="C52">
        <v>48</v>
      </c>
      <c r="D52">
        <v>300</v>
      </c>
      <c r="E52">
        <v>129</v>
      </c>
      <c r="F52">
        <v>0.4</v>
      </c>
      <c r="G52">
        <v>0.12</v>
      </c>
      <c r="H52">
        <v>0</v>
      </c>
      <c r="I52">
        <v>44.75</v>
      </c>
      <c r="J52">
        <f>I52-C52</f>
        <v>-3.25</v>
      </c>
    </row>
    <row r="53" spans="1:10" x14ac:dyDescent="0.25">
      <c r="A53" t="s">
        <v>137</v>
      </c>
      <c r="B53">
        <v>0</v>
      </c>
      <c r="C53">
        <v>48</v>
      </c>
      <c r="D53">
        <v>300</v>
      </c>
      <c r="E53">
        <v>129</v>
      </c>
      <c r="F53">
        <v>0.4</v>
      </c>
      <c r="G53">
        <v>0.12</v>
      </c>
      <c r="H53">
        <v>0</v>
      </c>
      <c r="I53">
        <v>45</v>
      </c>
      <c r="J53">
        <f>I53-C53</f>
        <v>-3</v>
      </c>
    </row>
    <row r="54" spans="1:10" x14ac:dyDescent="0.25">
      <c r="A54" t="s">
        <v>137</v>
      </c>
      <c r="B54">
        <v>0</v>
      </c>
      <c r="C54">
        <v>48</v>
      </c>
      <c r="D54">
        <v>300</v>
      </c>
      <c r="E54">
        <v>129</v>
      </c>
      <c r="F54">
        <v>0.4</v>
      </c>
      <c r="G54">
        <v>0.12</v>
      </c>
      <c r="H54">
        <v>0</v>
      </c>
      <c r="I54">
        <v>44.5</v>
      </c>
      <c r="J54">
        <f>I54-C54</f>
        <v>-3.5</v>
      </c>
    </row>
    <row r="55" spans="1:10" x14ac:dyDescent="0.25">
      <c r="A55" t="s">
        <v>137</v>
      </c>
      <c r="B55">
        <v>0</v>
      </c>
      <c r="C55">
        <v>48</v>
      </c>
      <c r="D55">
        <v>300</v>
      </c>
      <c r="E55">
        <v>129</v>
      </c>
      <c r="F55">
        <v>0.6</v>
      </c>
      <c r="G55">
        <v>0.12</v>
      </c>
      <c r="H55">
        <v>0</v>
      </c>
      <c r="I55">
        <v>50.5</v>
      </c>
      <c r="J55">
        <f>I55-C55</f>
        <v>2.5</v>
      </c>
    </row>
    <row r="56" spans="1:10" x14ac:dyDescent="0.25">
      <c r="A56" t="s">
        <v>137</v>
      </c>
      <c r="B56">
        <v>0</v>
      </c>
      <c r="C56">
        <v>48</v>
      </c>
      <c r="D56">
        <v>300</v>
      </c>
      <c r="E56">
        <v>129</v>
      </c>
      <c r="F56">
        <v>0.6</v>
      </c>
      <c r="G56">
        <v>0.12</v>
      </c>
      <c r="H56">
        <v>0</v>
      </c>
      <c r="I56">
        <v>51.5</v>
      </c>
      <c r="J56">
        <f>I56-C56</f>
        <v>3.5</v>
      </c>
    </row>
    <row r="57" spans="1:10" x14ac:dyDescent="0.25">
      <c r="A57" t="s">
        <v>137</v>
      </c>
      <c r="B57">
        <v>0</v>
      </c>
      <c r="C57">
        <v>48</v>
      </c>
      <c r="D57">
        <v>300</v>
      </c>
      <c r="E57">
        <v>129</v>
      </c>
      <c r="F57">
        <v>0.6</v>
      </c>
      <c r="G57">
        <v>0.12</v>
      </c>
      <c r="H57">
        <v>0</v>
      </c>
      <c r="I57">
        <v>51.5</v>
      </c>
      <c r="J57">
        <f>I57-C57</f>
        <v>3.5</v>
      </c>
    </row>
    <row r="58" spans="1:10" x14ac:dyDescent="0.25">
      <c r="A58" t="s">
        <v>137</v>
      </c>
      <c r="B58">
        <v>0</v>
      </c>
      <c r="C58">
        <v>48</v>
      </c>
      <c r="D58">
        <v>300</v>
      </c>
      <c r="E58">
        <v>129</v>
      </c>
      <c r="F58">
        <v>0.6</v>
      </c>
      <c r="G58">
        <v>0.12</v>
      </c>
      <c r="H58">
        <v>0</v>
      </c>
      <c r="I58">
        <v>51</v>
      </c>
      <c r="J58">
        <f>I58-C58</f>
        <v>3</v>
      </c>
    </row>
    <row r="59" spans="1:10" x14ac:dyDescent="0.25">
      <c r="A59" t="s">
        <v>137</v>
      </c>
      <c r="B59">
        <v>0</v>
      </c>
      <c r="C59">
        <v>48</v>
      </c>
      <c r="D59">
        <v>300</v>
      </c>
      <c r="E59">
        <v>129</v>
      </c>
      <c r="F59">
        <v>0.8</v>
      </c>
      <c r="G59">
        <v>0.12</v>
      </c>
      <c r="H59">
        <v>0</v>
      </c>
      <c r="I59">
        <v>55</v>
      </c>
      <c r="J59">
        <f>I59-C59</f>
        <v>7</v>
      </c>
    </row>
    <row r="60" spans="1:10" x14ac:dyDescent="0.25">
      <c r="A60" t="s">
        <v>137</v>
      </c>
      <c r="B60">
        <v>0</v>
      </c>
      <c r="C60">
        <v>48</v>
      </c>
      <c r="D60">
        <v>300</v>
      </c>
      <c r="E60">
        <v>129</v>
      </c>
      <c r="F60">
        <v>0.8</v>
      </c>
      <c r="G60">
        <v>0.12</v>
      </c>
      <c r="H60">
        <v>0</v>
      </c>
      <c r="I60">
        <v>52</v>
      </c>
      <c r="J60">
        <f>I60-C60</f>
        <v>4</v>
      </c>
    </row>
    <row r="61" spans="1:10" x14ac:dyDescent="0.25">
      <c r="A61" t="s">
        <v>137</v>
      </c>
      <c r="B61">
        <v>0</v>
      </c>
      <c r="C61">
        <v>48</v>
      </c>
      <c r="D61">
        <v>300</v>
      </c>
      <c r="E61">
        <v>129</v>
      </c>
      <c r="F61">
        <v>0.8</v>
      </c>
      <c r="G61">
        <v>0.12</v>
      </c>
      <c r="H61">
        <v>0</v>
      </c>
      <c r="I61">
        <v>52.25</v>
      </c>
      <c r="J61">
        <f>I61-C61</f>
        <v>4.25</v>
      </c>
    </row>
    <row r="62" spans="1:10" x14ac:dyDescent="0.25">
      <c r="A62" t="s">
        <v>137</v>
      </c>
      <c r="B62">
        <v>0</v>
      </c>
      <c r="C62">
        <v>48</v>
      </c>
      <c r="D62">
        <v>300</v>
      </c>
      <c r="E62">
        <v>129</v>
      </c>
      <c r="F62">
        <v>0.8</v>
      </c>
      <c r="G62">
        <v>0.12</v>
      </c>
      <c r="H62">
        <v>0</v>
      </c>
      <c r="I62">
        <v>53</v>
      </c>
      <c r="J62">
        <f>I62-C62</f>
        <v>5</v>
      </c>
    </row>
    <row r="63" spans="1:10" x14ac:dyDescent="0.25">
      <c r="A63" t="s">
        <v>137</v>
      </c>
      <c r="B63">
        <v>0</v>
      </c>
      <c r="C63">
        <v>48</v>
      </c>
      <c r="D63">
        <v>300</v>
      </c>
      <c r="E63">
        <v>129</v>
      </c>
      <c r="F63">
        <v>1</v>
      </c>
      <c r="G63">
        <v>0.12</v>
      </c>
      <c r="H63">
        <v>0</v>
      </c>
      <c r="I63">
        <v>52.5</v>
      </c>
      <c r="J63">
        <f>I63-C63</f>
        <v>4.5</v>
      </c>
    </row>
    <row r="64" spans="1:10" x14ac:dyDescent="0.25">
      <c r="A64" t="s">
        <v>137</v>
      </c>
      <c r="B64">
        <v>0</v>
      </c>
      <c r="C64">
        <v>48</v>
      </c>
      <c r="D64">
        <v>300</v>
      </c>
      <c r="E64">
        <v>129</v>
      </c>
      <c r="F64">
        <v>1</v>
      </c>
      <c r="G64">
        <v>0.12</v>
      </c>
      <c r="H64">
        <v>0</v>
      </c>
      <c r="I64">
        <v>49.5</v>
      </c>
      <c r="J64">
        <f>I64-C64</f>
        <v>1.5</v>
      </c>
    </row>
    <row r="65" spans="1:10" x14ac:dyDescent="0.25">
      <c r="A65" t="s">
        <v>137</v>
      </c>
      <c r="B65">
        <v>0</v>
      </c>
      <c r="C65">
        <v>48</v>
      </c>
      <c r="D65">
        <v>300</v>
      </c>
      <c r="E65">
        <v>129</v>
      </c>
      <c r="F65">
        <v>1</v>
      </c>
      <c r="G65">
        <v>0.12</v>
      </c>
      <c r="H65">
        <v>0</v>
      </c>
      <c r="I65">
        <v>52.25</v>
      </c>
      <c r="J65">
        <f>I65-C65</f>
        <v>4.25</v>
      </c>
    </row>
    <row r="66" spans="1:10" x14ac:dyDescent="0.25">
      <c r="A66" t="s">
        <v>137</v>
      </c>
      <c r="B66">
        <v>0</v>
      </c>
      <c r="C66">
        <v>48</v>
      </c>
      <c r="D66">
        <v>300</v>
      </c>
      <c r="E66">
        <v>129</v>
      </c>
      <c r="F66">
        <v>1</v>
      </c>
      <c r="G66">
        <v>0.12</v>
      </c>
      <c r="H66">
        <v>0</v>
      </c>
      <c r="I66">
        <v>52</v>
      </c>
      <c r="J66">
        <f>I66-C66</f>
        <v>4</v>
      </c>
    </row>
    <row r="67" spans="1:10" x14ac:dyDescent="0.25">
      <c r="A67" t="s">
        <v>137</v>
      </c>
      <c r="B67">
        <v>0</v>
      </c>
      <c r="C67">
        <v>96</v>
      </c>
      <c r="D67">
        <v>300</v>
      </c>
      <c r="E67">
        <v>129</v>
      </c>
      <c r="F67">
        <v>0.4</v>
      </c>
      <c r="G67">
        <v>0.12</v>
      </c>
      <c r="H67">
        <v>0</v>
      </c>
      <c r="I67">
        <v>92.5</v>
      </c>
      <c r="J67">
        <f>I67-C67</f>
        <v>-3.5</v>
      </c>
    </row>
    <row r="68" spans="1:10" x14ac:dyDescent="0.25">
      <c r="A68" t="s">
        <v>137</v>
      </c>
      <c r="B68">
        <v>0</v>
      </c>
      <c r="C68">
        <v>96</v>
      </c>
      <c r="D68">
        <v>300</v>
      </c>
      <c r="E68">
        <v>129</v>
      </c>
      <c r="F68">
        <v>0.4</v>
      </c>
      <c r="G68">
        <v>0.12</v>
      </c>
      <c r="H68">
        <v>0</v>
      </c>
      <c r="I68">
        <v>91</v>
      </c>
      <c r="J68">
        <f>I68-C68</f>
        <v>-5</v>
      </c>
    </row>
    <row r="69" spans="1:10" x14ac:dyDescent="0.25">
      <c r="A69" t="s">
        <v>137</v>
      </c>
      <c r="B69">
        <v>0</v>
      </c>
      <c r="C69">
        <v>96</v>
      </c>
      <c r="D69">
        <v>300</v>
      </c>
      <c r="E69">
        <v>129</v>
      </c>
      <c r="F69">
        <v>0.4</v>
      </c>
      <c r="G69">
        <v>0.12</v>
      </c>
      <c r="H69">
        <v>0</v>
      </c>
      <c r="I69">
        <v>93</v>
      </c>
      <c r="J69">
        <f>I69-C69</f>
        <v>-3</v>
      </c>
    </row>
    <row r="70" spans="1:10" x14ac:dyDescent="0.25">
      <c r="A70" t="s">
        <v>137</v>
      </c>
      <c r="B70">
        <v>0</v>
      </c>
      <c r="C70">
        <v>96</v>
      </c>
      <c r="D70">
        <v>300</v>
      </c>
      <c r="E70">
        <v>129</v>
      </c>
      <c r="F70">
        <v>0.4</v>
      </c>
      <c r="G70">
        <v>0.12</v>
      </c>
      <c r="H70">
        <v>0</v>
      </c>
      <c r="I70">
        <v>92.75</v>
      </c>
      <c r="J70">
        <f>I70-C70</f>
        <v>-3.25</v>
      </c>
    </row>
    <row r="71" spans="1:10" x14ac:dyDescent="0.25">
      <c r="A71" t="s">
        <v>137</v>
      </c>
      <c r="B71">
        <v>0</v>
      </c>
      <c r="C71">
        <v>96</v>
      </c>
      <c r="D71">
        <v>300</v>
      </c>
      <c r="E71">
        <v>129</v>
      </c>
      <c r="F71">
        <v>0.4</v>
      </c>
      <c r="G71">
        <v>0.12</v>
      </c>
      <c r="H71">
        <v>0</v>
      </c>
      <c r="I71">
        <v>92</v>
      </c>
      <c r="J71">
        <f>I71-C71</f>
        <v>-4</v>
      </c>
    </row>
    <row r="72" spans="1:10" x14ac:dyDescent="0.25">
      <c r="A72" t="s">
        <v>137</v>
      </c>
      <c r="B72">
        <v>0</v>
      </c>
      <c r="C72">
        <v>96</v>
      </c>
      <c r="D72">
        <v>300</v>
      </c>
      <c r="E72">
        <v>129</v>
      </c>
      <c r="F72">
        <v>0.4</v>
      </c>
      <c r="G72">
        <v>0.12</v>
      </c>
      <c r="H72">
        <v>0</v>
      </c>
      <c r="I72">
        <v>92.5</v>
      </c>
      <c r="J72">
        <f>I72-C72</f>
        <v>-3.5</v>
      </c>
    </row>
    <row r="73" spans="1:10" x14ac:dyDescent="0.25">
      <c r="A73" t="s">
        <v>137</v>
      </c>
      <c r="B73">
        <v>0</v>
      </c>
      <c r="C73">
        <v>96</v>
      </c>
      <c r="D73">
        <v>300</v>
      </c>
      <c r="E73">
        <v>129</v>
      </c>
      <c r="F73">
        <v>0.4</v>
      </c>
      <c r="G73">
        <v>0.12</v>
      </c>
      <c r="H73">
        <v>0</v>
      </c>
      <c r="I73">
        <v>90</v>
      </c>
      <c r="J73">
        <f>I73-C73</f>
        <v>-6</v>
      </c>
    </row>
    <row r="74" spans="1:10" x14ac:dyDescent="0.25">
      <c r="A74" t="s">
        <v>137</v>
      </c>
      <c r="B74">
        <v>0</v>
      </c>
      <c r="C74">
        <v>96</v>
      </c>
      <c r="D74">
        <v>300</v>
      </c>
      <c r="E74">
        <v>129</v>
      </c>
      <c r="F74">
        <v>0.4</v>
      </c>
      <c r="G74">
        <v>0.12</v>
      </c>
      <c r="H74">
        <v>0</v>
      </c>
      <c r="I74">
        <v>91</v>
      </c>
      <c r="J74">
        <f>I74-C74</f>
        <v>-5</v>
      </c>
    </row>
    <row r="75" spans="1:10" x14ac:dyDescent="0.25">
      <c r="A75" t="s">
        <v>137</v>
      </c>
      <c r="B75">
        <v>0</v>
      </c>
      <c r="C75">
        <v>96</v>
      </c>
      <c r="D75">
        <v>300</v>
      </c>
      <c r="E75">
        <v>129</v>
      </c>
      <c r="F75">
        <v>0.4</v>
      </c>
      <c r="G75">
        <v>0.12</v>
      </c>
      <c r="H75">
        <v>0</v>
      </c>
      <c r="I75">
        <v>92</v>
      </c>
      <c r="J75">
        <f>I75-C75</f>
        <v>-4</v>
      </c>
    </row>
    <row r="76" spans="1:10" x14ac:dyDescent="0.25">
      <c r="A76" t="s">
        <v>137</v>
      </c>
      <c r="B76">
        <v>0</v>
      </c>
      <c r="C76">
        <v>72</v>
      </c>
      <c r="D76">
        <v>300</v>
      </c>
      <c r="E76">
        <v>129</v>
      </c>
      <c r="F76">
        <v>0.4</v>
      </c>
      <c r="G76">
        <v>0.12</v>
      </c>
      <c r="H76">
        <v>0</v>
      </c>
      <c r="I76">
        <v>68</v>
      </c>
      <c r="J76">
        <f>I76-C76</f>
        <v>-4</v>
      </c>
    </row>
    <row r="77" spans="1:10" x14ac:dyDescent="0.25">
      <c r="A77" t="s">
        <v>137</v>
      </c>
      <c r="B77">
        <v>0</v>
      </c>
      <c r="C77">
        <v>72</v>
      </c>
      <c r="D77">
        <v>300</v>
      </c>
      <c r="E77">
        <v>129</v>
      </c>
      <c r="F77">
        <v>0.4</v>
      </c>
      <c r="G77">
        <v>0.12</v>
      </c>
      <c r="H77">
        <v>0</v>
      </c>
      <c r="I77">
        <v>67</v>
      </c>
      <c r="J77">
        <f>I77-C77</f>
        <v>-5</v>
      </c>
    </row>
    <row r="78" spans="1:10" x14ac:dyDescent="0.25">
      <c r="A78" t="s">
        <v>137</v>
      </c>
      <c r="B78">
        <v>0</v>
      </c>
      <c r="C78">
        <v>72</v>
      </c>
      <c r="D78">
        <v>300</v>
      </c>
      <c r="E78">
        <v>129</v>
      </c>
      <c r="F78">
        <v>0.4</v>
      </c>
      <c r="G78">
        <v>0.12</v>
      </c>
      <c r="H78">
        <v>0</v>
      </c>
      <c r="I78">
        <v>68</v>
      </c>
      <c r="J78">
        <f>I78-C78</f>
        <v>-4</v>
      </c>
    </row>
    <row r="79" spans="1:10" x14ac:dyDescent="0.25">
      <c r="A79" t="s">
        <v>137</v>
      </c>
      <c r="B79">
        <v>0</v>
      </c>
      <c r="C79">
        <v>72</v>
      </c>
      <c r="D79">
        <v>300</v>
      </c>
      <c r="E79">
        <v>129</v>
      </c>
      <c r="F79">
        <v>0.4</v>
      </c>
      <c r="G79">
        <v>0.12</v>
      </c>
      <c r="H79">
        <v>0</v>
      </c>
      <c r="I79">
        <v>67</v>
      </c>
      <c r="J79">
        <f>I79-C79</f>
        <v>-5</v>
      </c>
    </row>
    <row r="80" spans="1:10" x14ac:dyDescent="0.25">
      <c r="A80" t="s">
        <v>137</v>
      </c>
      <c r="B80">
        <v>0</v>
      </c>
      <c r="C80">
        <v>72</v>
      </c>
      <c r="D80">
        <v>300</v>
      </c>
      <c r="E80">
        <v>129</v>
      </c>
      <c r="F80">
        <v>0.4</v>
      </c>
      <c r="G80">
        <v>0.12</v>
      </c>
      <c r="H80">
        <v>0</v>
      </c>
      <c r="I80">
        <v>67</v>
      </c>
      <c r="J80">
        <f>I80-C80</f>
        <v>-5</v>
      </c>
    </row>
    <row r="81" spans="1:10" x14ac:dyDescent="0.25">
      <c r="A81" t="s">
        <v>137</v>
      </c>
      <c r="B81">
        <v>0</v>
      </c>
      <c r="C81">
        <v>72</v>
      </c>
      <c r="D81">
        <v>300</v>
      </c>
      <c r="E81">
        <v>129</v>
      </c>
      <c r="F81">
        <v>0.4</v>
      </c>
      <c r="G81">
        <v>0.12</v>
      </c>
      <c r="H81">
        <v>0</v>
      </c>
      <c r="I81">
        <v>67.75</v>
      </c>
      <c r="J81">
        <f>I81-C81</f>
        <v>-4.25</v>
      </c>
    </row>
    <row r="82" spans="1:10" x14ac:dyDescent="0.25">
      <c r="A82" t="s">
        <v>137</v>
      </c>
      <c r="B82">
        <v>0</v>
      </c>
      <c r="C82">
        <v>72</v>
      </c>
      <c r="D82">
        <v>300</v>
      </c>
      <c r="E82">
        <v>129</v>
      </c>
      <c r="F82">
        <v>0.4</v>
      </c>
      <c r="G82">
        <v>0.12</v>
      </c>
      <c r="H82">
        <v>0</v>
      </c>
      <c r="I82">
        <v>67.75</v>
      </c>
      <c r="J82">
        <f>I82-C82</f>
        <v>-4.25</v>
      </c>
    </row>
    <row r="83" spans="1:10" x14ac:dyDescent="0.25">
      <c r="A83" t="s">
        <v>137</v>
      </c>
      <c r="B83">
        <v>0</v>
      </c>
      <c r="C83">
        <v>72</v>
      </c>
      <c r="D83">
        <v>300</v>
      </c>
      <c r="E83">
        <v>129</v>
      </c>
      <c r="F83">
        <v>0.4</v>
      </c>
      <c r="G83">
        <v>0.12</v>
      </c>
      <c r="H83">
        <v>0</v>
      </c>
      <c r="I83">
        <v>77</v>
      </c>
      <c r="J83">
        <f>I83-C83</f>
        <v>5</v>
      </c>
    </row>
    <row r="84" spans="1:10" x14ac:dyDescent="0.25">
      <c r="A84" t="s">
        <v>137</v>
      </c>
      <c r="B84">
        <v>0</v>
      </c>
      <c r="C84">
        <v>72</v>
      </c>
      <c r="D84">
        <v>300</v>
      </c>
      <c r="E84">
        <v>129</v>
      </c>
      <c r="F84">
        <v>0.6</v>
      </c>
      <c r="G84">
        <v>0.12</v>
      </c>
      <c r="H84">
        <v>0</v>
      </c>
      <c r="I84">
        <v>75.5</v>
      </c>
      <c r="J84">
        <f>I84-C84</f>
        <v>3.5</v>
      </c>
    </row>
    <row r="85" spans="1:10" x14ac:dyDescent="0.25">
      <c r="A85" t="s">
        <v>137</v>
      </c>
      <c r="B85">
        <v>0</v>
      </c>
      <c r="C85">
        <v>72</v>
      </c>
      <c r="D85">
        <v>300</v>
      </c>
      <c r="E85">
        <v>129</v>
      </c>
      <c r="F85">
        <v>0.6</v>
      </c>
      <c r="G85">
        <v>0.12</v>
      </c>
      <c r="H85">
        <v>0</v>
      </c>
      <c r="I85">
        <v>75</v>
      </c>
      <c r="J85">
        <f>I85-C85</f>
        <v>3</v>
      </c>
    </row>
    <row r="86" spans="1:10" x14ac:dyDescent="0.25">
      <c r="A86" t="s">
        <v>137</v>
      </c>
      <c r="B86">
        <v>0</v>
      </c>
      <c r="C86">
        <v>72</v>
      </c>
      <c r="D86">
        <v>300</v>
      </c>
      <c r="E86">
        <v>129</v>
      </c>
      <c r="F86">
        <v>0.6</v>
      </c>
      <c r="G86">
        <v>0.12</v>
      </c>
      <c r="H86">
        <v>0</v>
      </c>
      <c r="I86">
        <v>75</v>
      </c>
      <c r="J86">
        <f>I86-C86</f>
        <v>3</v>
      </c>
    </row>
    <row r="87" spans="1:10" x14ac:dyDescent="0.25">
      <c r="A87" t="s">
        <v>137</v>
      </c>
      <c r="B87">
        <v>0</v>
      </c>
      <c r="C87">
        <v>72</v>
      </c>
      <c r="D87">
        <v>300</v>
      </c>
      <c r="E87">
        <v>129</v>
      </c>
      <c r="F87">
        <v>0.6</v>
      </c>
      <c r="G87">
        <v>0.12</v>
      </c>
      <c r="H87">
        <v>0</v>
      </c>
      <c r="I87">
        <v>75</v>
      </c>
      <c r="J87">
        <f>I87-C87</f>
        <v>3</v>
      </c>
    </row>
    <row r="88" spans="1:10" x14ac:dyDescent="0.25">
      <c r="A88" t="s">
        <v>137</v>
      </c>
      <c r="B88">
        <v>0</v>
      </c>
      <c r="C88">
        <v>72</v>
      </c>
      <c r="D88">
        <v>300</v>
      </c>
      <c r="E88">
        <v>129</v>
      </c>
      <c r="F88">
        <v>0.6</v>
      </c>
      <c r="G88">
        <v>0.12</v>
      </c>
      <c r="H88">
        <v>0</v>
      </c>
      <c r="I88">
        <v>74.75</v>
      </c>
      <c r="J88">
        <f>I88-C88</f>
        <v>2.75</v>
      </c>
    </row>
    <row r="89" spans="1:10" x14ac:dyDescent="0.25">
      <c r="A89" t="s">
        <v>137</v>
      </c>
      <c r="B89">
        <v>0</v>
      </c>
      <c r="C89">
        <v>72</v>
      </c>
      <c r="D89">
        <v>300</v>
      </c>
      <c r="E89">
        <v>129</v>
      </c>
      <c r="F89">
        <v>0.8</v>
      </c>
      <c r="G89">
        <v>0.12</v>
      </c>
      <c r="H89">
        <v>0</v>
      </c>
      <c r="I89">
        <v>81.25</v>
      </c>
      <c r="J89">
        <f>I89-C89</f>
        <v>9.25</v>
      </c>
    </row>
    <row r="90" spans="1:10" x14ac:dyDescent="0.25">
      <c r="A90" t="s">
        <v>137</v>
      </c>
      <c r="B90">
        <v>0</v>
      </c>
      <c r="C90">
        <v>72</v>
      </c>
      <c r="D90">
        <v>300</v>
      </c>
      <c r="E90">
        <v>129</v>
      </c>
      <c r="F90">
        <v>0.8</v>
      </c>
      <c r="G90">
        <v>0.12</v>
      </c>
      <c r="H90">
        <v>0</v>
      </c>
      <c r="I90">
        <v>77.5</v>
      </c>
      <c r="J90">
        <f>I90-C90</f>
        <v>5.5</v>
      </c>
    </row>
    <row r="91" spans="1:10" x14ac:dyDescent="0.25">
      <c r="A91" t="s">
        <v>137</v>
      </c>
      <c r="B91">
        <v>0</v>
      </c>
      <c r="C91">
        <v>72</v>
      </c>
      <c r="D91">
        <v>300</v>
      </c>
      <c r="E91">
        <v>129</v>
      </c>
      <c r="F91">
        <v>0.8</v>
      </c>
      <c r="G91">
        <v>0.12</v>
      </c>
      <c r="H91">
        <v>0</v>
      </c>
      <c r="I91">
        <v>77.5</v>
      </c>
      <c r="J91">
        <f>I91-C91</f>
        <v>5.5</v>
      </c>
    </row>
    <row r="92" spans="1:10" x14ac:dyDescent="0.25">
      <c r="A92" t="s">
        <v>137</v>
      </c>
      <c r="B92">
        <v>0</v>
      </c>
      <c r="C92">
        <v>72</v>
      </c>
      <c r="D92">
        <v>300</v>
      </c>
      <c r="E92">
        <v>129</v>
      </c>
      <c r="F92">
        <v>0.8</v>
      </c>
      <c r="G92">
        <v>0.12</v>
      </c>
      <c r="H92">
        <v>0</v>
      </c>
      <c r="I92">
        <v>77</v>
      </c>
      <c r="J92">
        <f>I92-C92</f>
        <v>5</v>
      </c>
    </row>
    <row r="93" spans="1:10" x14ac:dyDescent="0.25">
      <c r="A93" t="s">
        <v>137</v>
      </c>
      <c r="B93">
        <v>0</v>
      </c>
      <c r="C93">
        <v>72</v>
      </c>
      <c r="D93">
        <v>300</v>
      </c>
      <c r="E93">
        <v>129</v>
      </c>
      <c r="F93">
        <v>0.8</v>
      </c>
      <c r="G93">
        <v>0.12</v>
      </c>
      <c r="H93">
        <v>0</v>
      </c>
      <c r="I93">
        <v>78.5</v>
      </c>
      <c r="J93">
        <f>I93-C93</f>
        <v>6.5</v>
      </c>
    </row>
    <row r="94" spans="1:10" x14ac:dyDescent="0.25">
      <c r="A94" t="s">
        <v>137</v>
      </c>
      <c r="B94">
        <v>0</v>
      </c>
      <c r="C94">
        <v>72</v>
      </c>
      <c r="D94">
        <v>300</v>
      </c>
      <c r="E94">
        <v>129</v>
      </c>
      <c r="F94">
        <v>1</v>
      </c>
      <c r="G94">
        <v>0.12</v>
      </c>
      <c r="H94">
        <v>0</v>
      </c>
      <c r="I94">
        <v>79</v>
      </c>
      <c r="J94">
        <f>I94-C94</f>
        <v>7</v>
      </c>
    </row>
    <row r="95" spans="1:10" x14ac:dyDescent="0.25">
      <c r="A95" t="s">
        <v>137</v>
      </c>
      <c r="B95">
        <v>0</v>
      </c>
      <c r="C95">
        <v>72</v>
      </c>
      <c r="D95">
        <v>300</v>
      </c>
      <c r="E95">
        <v>129</v>
      </c>
      <c r="F95">
        <v>1</v>
      </c>
      <c r="G95">
        <v>0.12</v>
      </c>
      <c r="H95">
        <v>0</v>
      </c>
      <c r="I95">
        <v>78.5</v>
      </c>
      <c r="J95">
        <f>I95-C95</f>
        <v>6.5</v>
      </c>
    </row>
    <row r="96" spans="1:10" x14ac:dyDescent="0.25">
      <c r="A96" t="s">
        <v>137</v>
      </c>
      <c r="B96">
        <v>0</v>
      </c>
      <c r="C96">
        <v>96</v>
      </c>
      <c r="D96">
        <v>200</v>
      </c>
      <c r="E96">
        <v>129</v>
      </c>
      <c r="F96">
        <v>1</v>
      </c>
      <c r="G96">
        <v>0.12</v>
      </c>
      <c r="H96">
        <v>0</v>
      </c>
      <c r="I96">
        <v>81.5</v>
      </c>
      <c r="J96">
        <f>I96-C96</f>
        <v>-14.5</v>
      </c>
    </row>
    <row r="97" spans="1:10" x14ac:dyDescent="0.25">
      <c r="A97" t="s">
        <v>137</v>
      </c>
      <c r="B97">
        <v>0</v>
      </c>
      <c r="C97">
        <v>96</v>
      </c>
      <c r="D97">
        <v>200</v>
      </c>
      <c r="E97">
        <v>158</v>
      </c>
      <c r="F97">
        <v>0.8</v>
      </c>
      <c r="G97">
        <v>0.12</v>
      </c>
      <c r="H97">
        <v>0</v>
      </c>
      <c r="I97">
        <v>96.5</v>
      </c>
      <c r="J97">
        <f>I97-C97</f>
        <v>0.5</v>
      </c>
    </row>
    <row r="98" spans="1:10" x14ac:dyDescent="0.25">
      <c r="A98" t="s">
        <v>137</v>
      </c>
      <c r="B98">
        <v>0</v>
      </c>
      <c r="C98">
        <v>96</v>
      </c>
      <c r="D98">
        <v>200</v>
      </c>
      <c r="E98">
        <v>158</v>
      </c>
      <c r="F98">
        <v>0.8</v>
      </c>
      <c r="G98">
        <v>0.12</v>
      </c>
      <c r="H98">
        <v>0</v>
      </c>
      <c r="I98">
        <v>94.5</v>
      </c>
      <c r="J98">
        <f>I98-C98</f>
        <v>-1.5</v>
      </c>
    </row>
    <row r="99" spans="1:10" x14ac:dyDescent="0.25">
      <c r="A99" t="s">
        <v>137</v>
      </c>
      <c r="B99">
        <v>0</v>
      </c>
      <c r="C99">
        <v>96</v>
      </c>
      <c r="D99">
        <v>200</v>
      </c>
      <c r="E99">
        <v>158</v>
      </c>
      <c r="F99">
        <v>0.8</v>
      </c>
      <c r="G99">
        <v>0.12</v>
      </c>
      <c r="H99">
        <v>0</v>
      </c>
      <c r="I99">
        <v>94.5</v>
      </c>
      <c r="J99">
        <f>I99-C99</f>
        <v>-1.5</v>
      </c>
    </row>
    <row r="100" spans="1:10" x14ac:dyDescent="0.25">
      <c r="A100" t="s">
        <v>137</v>
      </c>
      <c r="B100">
        <v>0</v>
      </c>
      <c r="C100">
        <v>96</v>
      </c>
      <c r="D100">
        <v>200</v>
      </c>
      <c r="E100">
        <v>158</v>
      </c>
      <c r="F100">
        <v>0.8</v>
      </c>
      <c r="G100">
        <v>0.12</v>
      </c>
      <c r="H100">
        <v>0</v>
      </c>
      <c r="I100">
        <v>93.5</v>
      </c>
      <c r="J100">
        <f>I100-C100</f>
        <v>-2.5</v>
      </c>
    </row>
    <row r="101" spans="1:10" x14ac:dyDescent="0.25">
      <c r="A101" t="s">
        <v>137</v>
      </c>
      <c r="B101">
        <v>0</v>
      </c>
      <c r="C101">
        <v>96</v>
      </c>
      <c r="D101">
        <v>200</v>
      </c>
      <c r="E101">
        <v>158</v>
      </c>
      <c r="F101">
        <v>0.8</v>
      </c>
      <c r="G101">
        <v>0.12</v>
      </c>
      <c r="H101">
        <v>0</v>
      </c>
      <c r="I101">
        <v>95</v>
      </c>
      <c r="J101">
        <f>I101-C101</f>
        <v>-1</v>
      </c>
    </row>
    <row r="102" spans="1:10" x14ac:dyDescent="0.25">
      <c r="A102" t="s">
        <v>137</v>
      </c>
      <c r="B102">
        <v>0</v>
      </c>
      <c r="C102">
        <v>96</v>
      </c>
      <c r="D102">
        <v>200</v>
      </c>
      <c r="E102">
        <v>156</v>
      </c>
      <c r="F102">
        <v>0.8</v>
      </c>
      <c r="G102">
        <v>0.12</v>
      </c>
      <c r="H102">
        <v>0</v>
      </c>
      <c r="I102">
        <v>99</v>
      </c>
      <c r="J102">
        <f>I102-C102</f>
        <v>3</v>
      </c>
    </row>
    <row r="103" spans="1:10" x14ac:dyDescent="0.25">
      <c r="A103" t="s">
        <v>137</v>
      </c>
      <c r="B103">
        <v>0</v>
      </c>
      <c r="C103">
        <v>96</v>
      </c>
      <c r="D103">
        <v>200</v>
      </c>
      <c r="E103">
        <v>156</v>
      </c>
      <c r="F103">
        <v>0.8</v>
      </c>
      <c r="G103">
        <v>0.12</v>
      </c>
      <c r="H103">
        <v>0</v>
      </c>
      <c r="I103">
        <v>96</v>
      </c>
      <c r="J103">
        <f>I103-C103</f>
        <v>0</v>
      </c>
    </row>
    <row r="104" spans="1:10" x14ac:dyDescent="0.25">
      <c r="A104" t="s">
        <v>137</v>
      </c>
      <c r="B104">
        <v>0</v>
      </c>
      <c r="C104">
        <v>96</v>
      </c>
      <c r="D104">
        <v>200</v>
      </c>
      <c r="E104">
        <v>156</v>
      </c>
      <c r="F104">
        <v>0.8</v>
      </c>
      <c r="G104">
        <v>0.12</v>
      </c>
      <c r="H104">
        <v>0</v>
      </c>
      <c r="I104">
        <v>96</v>
      </c>
      <c r="J104">
        <f>I104-C104</f>
        <v>0</v>
      </c>
    </row>
    <row r="105" spans="1:10" x14ac:dyDescent="0.25">
      <c r="A105" t="s">
        <v>137</v>
      </c>
      <c r="B105">
        <v>0</v>
      </c>
      <c r="C105">
        <v>96</v>
      </c>
      <c r="D105">
        <v>200</v>
      </c>
      <c r="E105">
        <v>156</v>
      </c>
      <c r="F105">
        <v>0.8</v>
      </c>
      <c r="G105">
        <v>0.12</v>
      </c>
      <c r="H105">
        <v>0</v>
      </c>
      <c r="I105">
        <v>97</v>
      </c>
      <c r="J105">
        <f>I105-C105</f>
        <v>1</v>
      </c>
    </row>
    <row r="106" spans="1:10" x14ac:dyDescent="0.25">
      <c r="A106" t="s">
        <v>137</v>
      </c>
      <c r="B106">
        <v>0</v>
      </c>
      <c r="C106">
        <v>24</v>
      </c>
      <c r="D106">
        <v>200</v>
      </c>
      <c r="E106">
        <v>156</v>
      </c>
      <c r="F106">
        <v>0.8</v>
      </c>
      <c r="G106">
        <v>0.12</v>
      </c>
      <c r="H106">
        <v>0</v>
      </c>
      <c r="I106">
        <v>24</v>
      </c>
      <c r="J106">
        <f>I106-C106</f>
        <v>0</v>
      </c>
    </row>
    <row r="107" spans="1:10" x14ac:dyDescent="0.25">
      <c r="A107" t="s">
        <v>137</v>
      </c>
      <c r="B107">
        <v>0</v>
      </c>
      <c r="C107">
        <v>24</v>
      </c>
      <c r="D107">
        <v>200</v>
      </c>
      <c r="E107">
        <v>156</v>
      </c>
      <c r="F107">
        <v>0.8</v>
      </c>
      <c r="G107">
        <v>0.12</v>
      </c>
      <c r="H107">
        <v>0</v>
      </c>
      <c r="I107">
        <v>24</v>
      </c>
      <c r="J107">
        <f>I107-C107</f>
        <v>0</v>
      </c>
    </row>
    <row r="108" spans="1:10" x14ac:dyDescent="0.25">
      <c r="A108" t="s">
        <v>137</v>
      </c>
      <c r="B108">
        <v>0</v>
      </c>
      <c r="C108">
        <v>24</v>
      </c>
      <c r="D108">
        <v>200</v>
      </c>
      <c r="E108">
        <v>156</v>
      </c>
      <c r="F108">
        <v>0.8</v>
      </c>
      <c r="G108">
        <v>0.12</v>
      </c>
      <c r="H108">
        <v>0</v>
      </c>
      <c r="I108">
        <v>23.5</v>
      </c>
      <c r="J108">
        <f>I108-C108</f>
        <v>-0.5</v>
      </c>
    </row>
    <row r="109" spans="1:10" x14ac:dyDescent="0.25">
      <c r="A109" t="s">
        <v>137</v>
      </c>
      <c r="B109">
        <v>0</v>
      </c>
      <c r="C109">
        <v>24</v>
      </c>
      <c r="D109">
        <v>200</v>
      </c>
      <c r="E109">
        <v>156</v>
      </c>
      <c r="F109">
        <v>0.8</v>
      </c>
      <c r="G109">
        <v>0.12</v>
      </c>
      <c r="H109">
        <v>0</v>
      </c>
      <c r="I109">
        <v>23.75</v>
      </c>
      <c r="J109">
        <f>I109-C109</f>
        <v>-0.25</v>
      </c>
    </row>
    <row r="110" spans="1:10" x14ac:dyDescent="0.25">
      <c r="A110" t="s">
        <v>137</v>
      </c>
      <c r="B110">
        <v>0</v>
      </c>
      <c r="C110">
        <v>24</v>
      </c>
      <c r="D110">
        <v>200</v>
      </c>
      <c r="E110">
        <v>156</v>
      </c>
      <c r="F110">
        <v>0.8</v>
      </c>
      <c r="G110">
        <v>0.12</v>
      </c>
      <c r="H110">
        <v>0</v>
      </c>
      <c r="I110">
        <v>23.75</v>
      </c>
      <c r="J110">
        <f>I110-C110</f>
        <v>-0.25</v>
      </c>
    </row>
    <row r="111" spans="1:10" x14ac:dyDescent="0.25">
      <c r="A111" t="s">
        <v>137</v>
      </c>
      <c r="B111">
        <v>0</v>
      </c>
      <c r="C111">
        <v>24</v>
      </c>
      <c r="D111">
        <v>200</v>
      </c>
      <c r="E111">
        <v>156</v>
      </c>
      <c r="F111">
        <v>0.8</v>
      </c>
      <c r="G111">
        <v>0.12</v>
      </c>
      <c r="H111">
        <v>0</v>
      </c>
      <c r="I111">
        <v>24</v>
      </c>
      <c r="J111">
        <f>I111-C111</f>
        <v>0</v>
      </c>
    </row>
    <row r="112" spans="1:10" x14ac:dyDescent="0.25">
      <c r="A112" t="s">
        <v>137</v>
      </c>
      <c r="B112">
        <v>0</v>
      </c>
      <c r="C112">
        <v>24</v>
      </c>
      <c r="D112">
        <v>200</v>
      </c>
      <c r="E112">
        <v>156</v>
      </c>
      <c r="F112">
        <v>0.8</v>
      </c>
      <c r="G112">
        <v>0.12</v>
      </c>
      <c r="H112">
        <v>0</v>
      </c>
      <c r="I112">
        <v>23.75</v>
      </c>
      <c r="J112">
        <f>I112-C112</f>
        <v>-0.25</v>
      </c>
    </row>
    <row r="113" spans="1:11" x14ac:dyDescent="0.25">
      <c r="A113" t="s">
        <v>137</v>
      </c>
      <c r="B113">
        <v>0</v>
      </c>
      <c r="C113">
        <v>12</v>
      </c>
      <c r="D113">
        <v>200</v>
      </c>
      <c r="E113">
        <v>156</v>
      </c>
      <c r="F113">
        <v>0.8</v>
      </c>
      <c r="G113">
        <v>0.12</v>
      </c>
      <c r="H113">
        <v>0</v>
      </c>
      <c r="I113">
        <v>12.25</v>
      </c>
      <c r="J113">
        <f>I113-C113</f>
        <v>0.25</v>
      </c>
    </row>
    <row r="114" spans="1:11" x14ac:dyDescent="0.25">
      <c r="A114" t="s">
        <v>137</v>
      </c>
      <c r="B114">
        <v>0</v>
      </c>
      <c r="C114">
        <v>12</v>
      </c>
      <c r="D114">
        <v>200</v>
      </c>
      <c r="E114">
        <v>156</v>
      </c>
      <c r="F114">
        <v>0.8</v>
      </c>
      <c r="G114">
        <v>0.12</v>
      </c>
      <c r="H114">
        <v>0</v>
      </c>
      <c r="I114">
        <v>11.5</v>
      </c>
      <c r="J114">
        <f>I114-C114</f>
        <v>-0.5</v>
      </c>
    </row>
    <row r="115" spans="1:11" x14ac:dyDescent="0.25">
      <c r="A115" t="s">
        <v>137</v>
      </c>
      <c r="B115">
        <v>0</v>
      </c>
      <c r="C115">
        <v>12</v>
      </c>
      <c r="D115">
        <v>200</v>
      </c>
      <c r="E115">
        <v>156</v>
      </c>
      <c r="F115">
        <v>0.8</v>
      </c>
      <c r="G115">
        <v>0.12</v>
      </c>
      <c r="H115">
        <v>0</v>
      </c>
      <c r="I115">
        <v>11.5</v>
      </c>
      <c r="J115">
        <f>I115-C115</f>
        <v>-0.5</v>
      </c>
    </row>
    <row r="116" spans="1:11" x14ac:dyDescent="0.25">
      <c r="A116" t="s">
        <v>137</v>
      </c>
      <c r="B116">
        <v>0</v>
      </c>
      <c r="C116">
        <v>12</v>
      </c>
      <c r="D116">
        <v>200</v>
      </c>
      <c r="E116">
        <v>156</v>
      </c>
      <c r="F116">
        <v>0.8</v>
      </c>
      <c r="G116">
        <v>0.12</v>
      </c>
      <c r="H116">
        <v>0</v>
      </c>
      <c r="I116">
        <v>11.5</v>
      </c>
      <c r="J116">
        <f>I116-C116</f>
        <v>-0.5</v>
      </c>
    </row>
    <row r="117" spans="1:11" x14ac:dyDescent="0.25">
      <c r="A117" t="s">
        <v>137</v>
      </c>
      <c r="B117">
        <v>0</v>
      </c>
      <c r="C117">
        <v>12</v>
      </c>
      <c r="D117">
        <v>200</v>
      </c>
      <c r="E117">
        <v>156</v>
      </c>
      <c r="F117">
        <v>0.8</v>
      </c>
      <c r="G117">
        <v>0.12</v>
      </c>
      <c r="H117">
        <v>0</v>
      </c>
      <c r="I117">
        <v>11.5</v>
      </c>
      <c r="J117">
        <f>I117-C117</f>
        <v>-0.5</v>
      </c>
    </row>
    <row r="118" spans="1:11" x14ac:dyDescent="0.25">
      <c r="A118" t="s">
        <v>137</v>
      </c>
      <c r="B118">
        <v>0</v>
      </c>
      <c r="C118">
        <v>12</v>
      </c>
      <c r="D118">
        <v>200</v>
      </c>
      <c r="E118">
        <v>156</v>
      </c>
      <c r="F118">
        <v>0.8</v>
      </c>
      <c r="G118">
        <v>0.12</v>
      </c>
      <c r="H118">
        <v>0</v>
      </c>
      <c r="I118">
        <v>11.75</v>
      </c>
      <c r="J118">
        <f>I118-C118</f>
        <v>-0.25</v>
      </c>
    </row>
    <row r="119" spans="1:11" x14ac:dyDescent="0.25">
      <c r="A119" t="s">
        <v>137</v>
      </c>
      <c r="B119">
        <v>0</v>
      </c>
      <c r="C119">
        <v>12</v>
      </c>
      <c r="D119">
        <v>200</v>
      </c>
      <c r="E119">
        <v>156</v>
      </c>
      <c r="F119">
        <v>0.8</v>
      </c>
      <c r="G119">
        <v>0.12</v>
      </c>
      <c r="H119">
        <v>0</v>
      </c>
      <c r="I119">
        <v>12</v>
      </c>
      <c r="J119">
        <f>I119-C119</f>
        <v>0</v>
      </c>
    </row>
    <row r="120" spans="1:11" x14ac:dyDescent="0.25">
      <c r="A120" t="s">
        <v>137</v>
      </c>
      <c r="B120">
        <v>0</v>
      </c>
      <c r="C120">
        <v>48</v>
      </c>
      <c r="D120">
        <v>200</v>
      </c>
      <c r="E120">
        <v>156</v>
      </c>
      <c r="F120">
        <v>0.8</v>
      </c>
      <c r="G120">
        <v>0.12</v>
      </c>
      <c r="H120">
        <v>0</v>
      </c>
      <c r="I120">
        <v>50.75</v>
      </c>
      <c r="J120">
        <f>I120-C120</f>
        <v>2.75</v>
      </c>
    </row>
    <row r="121" spans="1:11" x14ac:dyDescent="0.25">
      <c r="A121" t="s">
        <v>137</v>
      </c>
      <c r="B121">
        <v>0</v>
      </c>
      <c r="C121">
        <v>48</v>
      </c>
      <c r="D121">
        <v>200</v>
      </c>
      <c r="E121">
        <v>156</v>
      </c>
      <c r="F121">
        <v>0.8</v>
      </c>
      <c r="G121">
        <v>0.12</v>
      </c>
      <c r="H121">
        <v>0</v>
      </c>
      <c r="I121">
        <v>48.25</v>
      </c>
      <c r="J121">
        <f>I121-C121</f>
        <v>0.25</v>
      </c>
    </row>
    <row r="122" spans="1:11" x14ac:dyDescent="0.25">
      <c r="A122" t="s">
        <v>137</v>
      </c>
      <c r="B122">
        <v>0</v>
      </c>
      <c r="C122">
        <v>48</v>
      </c>
      <c r="D122">
        <v>200</v>
      </c>
      <c r="E122">
        <v>156</v>
      </c>
      <c r="F122">
        <v>0.8</v>
      </c>
      <c r="G122">
        <v>0.12</v>
      </c>
      <c r="H122">
        <v>0</v>
      </c>
      <c r="I122">
        <v>48</v>
      </c>
      <c r="J122">
        <f>I122-C122</f>
        <v>0</v>
      </c>
    </row>
    <row r="123" spans="1:11" x14ac:dyDescent="0.25">
      <c r="A123" t="s">
        <v>137</v>
      </c>
      <c r="B123">
        <v>0</v>
      </c>
      <c r="C123">
        <v>48</v>
      </c>
      <c r="D123">
        <v>200</v>
      </c>
      <c r="E123">
        <v>156</v>
      </c>
      <c r="F123">
        <v>0.8</v>
      </c>
      <c r="G123">
        <v>0.12</v>
      </c>
      <c r="H123">
        <v>0</v>
      </c>
      <c r="I123">
        <v>48.5</v>
      </c>
      <c r="J123">
        <f>I123-C123</f>
        <v>0.5</v>
      </c>
    </row>
    <row r="124" spans="1:11" x14ac:dyDescent="0.25">
      <c r="A124" t="s">
        <v>137</v>
      </c>
      <c r="B124">
        <v>0</v>
      </c>
      <c r="C124">
        <v>48</v>
      </c>
      <c r="D124">
        <v>200</v>
      </c>
      <c r="E124">
        <v>156</v>
      </c>
      <c r="F124">
        <v>0.8</v>
      </c>
      <c r="G124">
        <v>0.12</v>
      </c>
      <c r="H124">
        <v>0</v>
      </c>
      <c r="I124">
        <v>49</v>
      </c>
      <c r="J124">
        <f>I124-C124</f>
        <v>1</v>
      </c>
    </row>
    <row r="125" spans="1:11" x14ac:dyDescent="0.25">
      <c r="A125" t="s">
        <v>137</v>
      </c>
      <c r="B125">
        <v>0</v>
      </c>
      <c r="C125">
        <v>48</v>
      </c>
      <c r="D125">
        <v>200</v>
      </c>
      <c r="E125">
        <v>156</v>
      </c>
      <c r="F125">
        <v>0.8</v>
      </c>
      <c r="G125">
        <v>0.12</v>
      </c>
      <c r="H125">
        <v>0</v>
      </c>
      <c r="I125">
        <v>48.25</v>
      </c>
      <c r="J125">
        <f>I125-C125</f>
        <v>0.25</v>
      </c>
    </row>
    <row r="126" spans="1:11" x14ac:dyDescent="0.25">
      <c r="A126" t="s">
        <v>138</v>
      </c>
      <c r="B126">
        <v>90</v>
      </c>
      <c r="C126">
        <f>B126*21.5*PI()/360</f>
        <v>16.886060513045138</v>
      </c>
      <c r="D126">
        <v>200</v>
      </c>
      <c r="E126">
        <v>156</v>
      </c>
      <c r="F126">
        <v>0.8</v>
      </c>
      <c r="G126">
        <v>0.12</v>
      </c>
      <c r="H126">
        <v>65</v>
      </c>
      <c r="I126">
        <f>H126*21.5*PI()/360</f>
        <v>12.195488148310377</v>
      </c>
      <c r="J126">
        <f>I126-C126</f>
        <v>-4.690572364734761</v>
      </c>
      <c r="K126">
        <f>I126/C126</f>
        <v>0.72222222222222221</v>
      </c>
    </row>
    <row r="127" spans="1:11" x14ac:dyDescent="0.25">
      <c r="A127" t="s">
        <v>138</v>
      </c>
      <c r="B127">
        <v>90</v>
      </c>
      <c r="C127">
        <f t="shared" ref="C127:C133" si="0">B127*21.5*PI()/360</f>
        <v>16.886060513045138</v>
      </c>
      <c r="D127">
        <v>200</v>
      </c>
      <c r="E127">
        <v>156</v>
      </c>
      <c r="F127">
        <v>0.8</v>
      </c>
      <c r="G127">
        <v>0.12</v>
      </c>
      <c r="H127">
        <v>65</v>
      </c>
      <c r="I127">
        <f t="shared" ref="I127:I135" si="1">H127*21.5*PI()/360</f>
        <v>12.195488148310377</v>
      </c>
      <c r="J127">
        <f t="shared" ref="J127:J135" si="2">I127-C127</f>
        <v>-4.690572364734761</v>
      </c>
      <c r="K127">
        <f t="shared" ref="K127:K138" si="3">I127/C127</f>
        <v>0.72222222222222221</v>
      </c>
    </row>
    <row r="128" spans="1:11" x14ac:dyDescent="0.25">
      <c r="A128" t="s">
        <v>138</v>
      </c>
      <c r="B128">
        <v>90</v>
      </c>
      <c r="C128">
        <f t="shared" si="0"/>
        <v>16.886060513045138</v>
      </c>
      <c r="D128">
        <v>200</v>
      </c>
      <c r="E128">
        <v>156</v>
      </c>
      <c r="F128">
        <v>0.8</v>
      </c>
      <c r="G128">
        <v>0.12</v>
      </c>
      <c r="H128">
        <v>64</v>
      </c>
      <c r="I128">
        <f t="shared" si="1"/>
        <v>12.007865253720986</v>
      </c>
      <c r="J128">
        <f t="shared" si="2"/>
        <v>-4.8781952593241513</v>
      </c>
      <c r="K128">
        <f t="shared" si="3"/>
        <v>0.71111111111111114</v>
      </c>
    </row>
    <row r="129" spans="1:11" x14ac:dyDescent="0.25">
      <c r="A129" t="s">
        <v>138</v>
      </c>
      <c r="B129">
        <v>90</v>
      </c>
      <c r="C129">
        <f t="shared" si="0"/>
        <v>16.886060513045138</v>
      </c>
      <c r="D129">
        <v>200</v>
      </c>
      <c r="E129">
        <v>156</v>
      </c>
      <c r="F129">
        <v>0.8</v>
      </c>
      <c r="G129">
        <v>0.12</v>
      </c>
      <c r="H129">
        <v>67</v>
      </c>
      <c r="I129">
        <f t="shared" si="1"/>
        <v>12.570733937489159</v>
      </c>
      <c r="J129">
        <f t="shared" si="2"/>
        <v>-4.3153265755559786</v>
      </c>
      <c r="K129">
        <f t="shared" si="3"/>
        <v>0.74444444444444446</v>
      </c>
    </row>
    <row r="130" spans="1:11" x14ac:dyDescent="0.25">
      <c r="A130" t="s">
        <v>138</v>
      </c>
      <c r="B130">
        <v>180</v>
      </c>
      <c r="C130">
        <f t="shared" si="0"/>
        <v>33.772121026090275</v>
      </c>
      <c r="D130">
        <v>200</v>
      </c>
      <c r="E130">
        <v>156</v>
      </c>
      <c r="F130">
        <v>0.8</v>
      </c>
      <c r="G130">
        <v>0.12</v>
      </c>
      <c r="H130">
        <v>160</v>
      </c>
      <c r="I130">
        <f t="shared" si="1"/>
        <v>30.019663134302466</v>
      </c>
      <c r="J130">
        <f t="shared" si="2"/>
        <v>-3.7524578917878095</v>
      </c>
      <c r="K130">
        <f t="shared" si="3"/>
        <v>0.88888888888888884</v>
      </c>
    </row>
    <row r="131" spans="1:11" x14ac:dyDescent="0.25">
      <c r="A131" t="s">
        <v>138</v>
      </c>
      <c r="B131">
        <v>180</v>
      </c>
      <c r="C131">
        <f t="shared" si="0"/>
        <v>33.772121026090275</v>
      </c>
      <c r="D131">
        <v>200</v>
      </c>
      <c r="E131">
        <v>156</v>
      </c>
      <c r="F131">
        <v>0.8</v>
      </c>
      <c r="G131">
        <v>0.12</v>
      </c>
      <c r="H131">
        <v>155</v>
      </c>
      <c r="I131">
        <f t="shared" si="1"/>
        <v>29.081548661355516</v>
      </c>
      <c r="J131">
        <f t="shared" si="2"/>
        <v>-4.6905723647347592</v>
      </c>
      <c r="K131">
        <f t="shared" si="3"/>
        <v>0.86111111111111116</v>
      </c>
    </row>
    <row r="132" spans="1:11" x14ac:dyDescent="0.25">
      <c r="A132" t="s">
        <v>138</v>
      </c>
      <c r="B132">
        <v>180</v>
      </c>
      <c r="C132">
        <f t="shared" si="0"/>
        <v>33.772121026090275</v>
      </c>
      <c r="D132">
        <v>200</v>
      </c>
      <c r="E132">
        <v>156</v>
      </c>
      <c r="F132">
        <v>0.8</v>
      </c>
      <c r="G132">
        <v>0.12</v>
      </c>
      <c r="H132">
        <v>149</v>
      </c>
      <c r="I132">
        <f t="shared" si="1"/>
        <v>27.955811293819174</v>
      </c>
      <c r="J132">
        <f t="shared" si="2"/>
        <v>-5.816309732271101</v>
      </c>
      <c r="K132">
        <f t="shared" si="3"/>
        <v>0.82777777777777783</v>
      </c>
    </row>
    <row r="133" spans="1:11" x14ac:dyDescent="0.25">
      <c r="A133" t="s">
        <v>138</v>
      </c>
      <c r="B133">
        <v>180</v>
      </c>
      <c r="C133">
        <f t="shared" si="0"/>
        <v>33.772121026090275</v>
      </c>
      <c r="D133">
        <v>200</v>
      </c>
      <c r="E133">
        <v>156</v>
      </c>
      <c r="F133">
        <v>0.8</v>
      </c>
      <c r="G133">
        <v>0.12</v>
      </c>
      <c r="H133">
        <v>149</v>
      </c>
      <c r="I133">
        <f t="shared" si="1"/>
        <v>27.955811293819174</v>
      </c>
      <c r="J133">
        <f t="shared" si="2"/>
        <v>-5.816309732271101</v>
      </c>
      <c r="K133">
        <f t="shared" si="3"/>
        <v>0.82777777777777783</v>
      </c>
    </row>
    <row r="134" spans="1:11" x14ac:dyDescent="0.25">
      <c r="A134" t="s">
        <v>138</v>
      </c>
      <c r="B134">
        <v>270</v>
      </c>
      <c r="C134">
        <f>B134*21.5*PI()/360</f>
        <v>50.658181539135413</v>
      </c>
      <c r="D134">
        <v>200</v>
      </c>
      <c r="E134">
        <v>156</v>
      </c>
      <c r="F134">
        <v>0.8</v>
      </c>
      <c r="G134">
        <v>0.12</v>
      </c>
      <c r="H134">
        <v>235</v>
      </c>
      <c r="I134">
        <f t="shared" si="1"/>
        <v>44.09138022850675</v>
      </c>
      <c r="J134">
        <f t="shared" si="2"/>
        <v>-6.5668013106286622</v>
      </c>
      <c r="K134">
        <f t="shared" si="3"/>
        <v>0.87037037037037046</v>
      </c>
    </row>
    <row r="135" spans="1:11" x14ac:dyDescent="0.25">
      <c r="A135" t="s">
        <v>138</v>
      </c>
      <c r="B135">
        <v>270</v>
      </c>
      <c r="C135">
        <f>B135*21.5*PI()/360</f>
        <v>50.658181539135413</v>
      </c>
      <c r="D135">
        <v>200</v>
      </c>
      <c r="E135">
        <v>156</v>
      </c>
      <c r="F135">
        <v>0.8</v>
      </c>
      <c r="G135">
        <v>0.12</v>
      </c>
      <c r="H135">
        <v>227</v>
      </c>
      <c r="I135">
        <f t="shared" si="1"/>
        <v>42.590397071791628</v>
      </c>
      <c r="J135">
        <f t="shared" si="2"/>
        <v>-8.0677844673437846</v>
      </c>
      <c r="K135">
        <f t="shared" si="3"/>
        <v>0.84074074074074079</v>
      </c>
    </row>
    <row r="136" spans="1:11" x14ac:dyDescent="0.25">
      <c r="A136" t="s">
        <v>137</v>
      </c>
      <c r="B136">
        <v>0</v>
      </c>
      <c r="C136">
        <v>-12</v>
      </c>
      <c r="D136">
        <v>200</v>
      </c>
      <c r="E136">
        <v>156</v>
      </c>
      <c r="F136">
        <v>0.8</v>
      </c>
      <c r="G136">
        <v>0.12</v>
      </c>
      <c r="H136">
        <v>0</v>
      </c>
      <c r="I136">
        <v>-13</v>
      </c>
      <c r="J136">
        <f>I136-C136</f>
        <v>-1</v>
      </c>
      <c r="K136">
        <f t="shared" si="3"/>
        <v>1.0833333333333333</v>
      </c>
    </row>
    <row r="137" spans="1:11" x14ac:dyDescent="0.25">
      <c r="A137" t="s">
        <v>137</v>
      </c>
      <c r="B137">
        <v>0</v>
      </c>
      <c r="C137">
        <v>-12</v>
      </c>
      <c r="D137">
        <v>200</v>
      </c>
      <c r="E137">
        <v>156</v>
      </c>
      <c r="F137">
        <v>0.8</v>
      </c>
      <c r="G137">
        <v>0.12</v>
      </c>
      <c r="H137">
        <v>0</v>
      </c>
      <c r="I137">
        <v>-13</v>
      </c>
      <c r="J137">
        <f>I137-C137</f>
        <v>-1</v>
      </c>
      <c r="K137">
        <f t="shared" si="3"/>
        <v>1.0833333333333333</v>
      </c>
    </row>
    <row r="138" spans="1:11" x14ac:dyDescent="0.25">
      <c r="A138" t="s">
        <v>137</v>
      </c>
      <c r="B138">
        <v>0</v>
      </c>
      <c r="C138">
        <v>-12</v>
      </c>
      <c r="D138">
        <v>200</v>
      </c>
      <c r="E138">
        <v>156</v>
      </c>
      <c r="F138">
        <v>0.8</v>
      </c>
      <c r="G138">
        <v>0.12</v>
      </c>
      <c r="H138">
        <v>0</v>
      </c>
      <c r="I138">
        <v>-13</v>
      </c>
      <c r="J138">
        <f>I138-C138</f>
        <v>-1</v>
      </c>
      <c r="K138">
        <f t="shared" si="3"/>
        <v>1.0833333333333333</v>
      </c>
    </row>
    <row r="139" spans="1:11" x14ac:dyDescent="0.25">
      <c r="A139" t="s">
        <v>138</v>
      </c>
      <c r="B139">
        <v>-25</v>
      </c>
      <c r="C139">
        <f>B139*21.5*PI()/360</f>
        <v>-4.690572364734761</v>
      </c>
      <c r="D139">
        <v>200</v>
      </c>
      <c r="E139">
        <v>129</v>
      </c>
      <c r="F139">
        <v>0.8</v>
      </c>
      <c r="G139">
        <v>0.12</v>
      </c>
      <c r="H139">
        <v>-25</v>
      </c>
      <c r="I139">
        <f t="shared" ref="I139:I176" si="4">H139*21.5*PI()/360</f>
        <v>-4.690572364734761</v>
      </c>
      <c r="J139">
        <f t="shared" ref="J139" si="5">I139-C139</f>
        <v>0</v>
      </c>
      <c r="K139">
        <f t="shared" ref="K139" si="6">I139/C139</f>
        <v>1</v>
      </c>
    </row>
    <row r="140" spans="1:11" x14ac:dyDescent="0.25">
      <c r="A140" t="s">
        <v>138</v>
      </c>
      <c r="B140">
        <v>140</v>
      </c>
      <c r="C140">
        <f t="shared" ref="C140:C176" si="7">B140*21.5*PI()/360</f>
        <v>26.267205242514656</v>
      </c>
      <c r="D140">
        <v>200</v>
      </c>
      <c r="E140">
        <v>129</v>
      </c>
      <c r="F140">
        <v>0.8</v>
      </c>
      <c r="G140">
        <v>0.12</v>
      </c>
      <c r="H140">
        <v>151</v>
      </c>
      <c r="I140">
        <f t="shared" si="4"/>
        <v>28.331057082997955</v>
      </c>
      <c r="J140">
        <f t="shared" ref="J140:J143" si="8">I140-C140</f>
        <v>2.0638518404832986</v>
      </c>
      <c r="K140">
        <f t="shared" ref="K140:K143" si="9">I140/C140</f>
        <v>1.0785714285714287</v>
      </c>
    </row>
    <row r="141" spans="1:11" x14ac:dyDescent="0.25">
      <c r="A141" t="s">
        <v>138</v>
      </c>
      <c r="B141">
        <v>140</v>
      </c>
      <c r="C141">
        <f t="shared" si="7"/>
        <v>26.267205242514656</v>
      </c>
      <c r="D141">
        <v>200</v>
      </c>
      <c r="E141">
        <v>129</v>
      </c>
      <c r="F141">
        <v>0.8</v>
      </c>
      <c r="G141">
        <v>0.12</v>
      </c>
      <c r="H141">
        <v>145</v>
      </c>
      <c r="I141">
        <f t="shared" si="4"/>
        <v>27.205319715461609</v>
      </c>
      <c r="J141">
        <f t="shared" si="8"/>
        <v>0.93811447294695327</v>
      </c>
      <c r="K141">
        <f t="shared" si="9"/>
        <v>1.0357142857142858</v>
      </c>
    </row>
    <row r="142" spans="1:11" x14ac:dyDescent="0.25">
      <c r="A142" t="s">
        <v>138</v>
      </c>
      <c r="B142">
        <v>140</v>
      </c>
      <c r="C142">
        <f t="shared" si="7"/>
        <v>26.267205242514656</v>
      </c>
      <c r="D142">
        <v>200</v>
      </c>
      <c r="E142">
        <v>129</v>
      </c>
      <c r="F142">
        <v>0.8</v>
      </c>
      <c r="G142">
        <v>0.12</v>
      </c>
      <c r="H142">
        <v>149</v>
      </c>
      <c r="I142">
        <f t="shared" si="4"/>
        <v>27.955811293819174</v>
      </c>
      <c r="J142">
        <f t="shared" si="8"/>
        <v>1.688606051304518</v>
      </c>
      <c r="K142">
        <f t="shared" si="9"/>
        <v>1.0642857142857145</v>
      </c>
    </row>
    <row r="143" spans="1:11" x14ac:dyDescent="0.25">
      <c r="A143" t="s">
        <v>138</v>
      </c>
      <c r="B143">
        <v>140</v>
      </c>
      <c r="C143">
        <f t="shared" si="7"/>
        <v>26.267205242514656</v>
      </c>
      <c r="D143">
        <v>200</v>
      </c>
      <c r="E143">
        <v>129</v>
      </c>
      <c r="F143">
        <v>0.8</v>
      </c>
      <c r="G143">
        <v>0.12</v>
      </c>
      <c r="H143">
        <v>148</v>
      </c>
      <c r="I143">
        <f t="shared" si="4"/>
        <v>27.768188399229782</v>
      </c>
      <c r="J143">
        <f t="shared" si="8"/>
        <v>1.5009831567151259</v>
      </c>
      <c r="K143">
        <f t="shared" si="9"/>
        <v>1.0571428571428572</v>
      </c>
    </row>
    <row r="144" spans="1:11" x14ac:dyDescent="0.25">
      <c r="A144" t="s">
        <v>138</v>
      </c>
      <c r="B144">
        <v>140</v>
      </c>
      <c r="C144">
        <f t="shared" si="7"/>
        <v>26.267205242514656</v>
      </c>
      <c r="D144">
        <v>200</v>
      </c>
      <c r="E144">
        <v>137</v>
      </c>
      <c r="F144">
        <v>0.8</v>
      </c>
      <c r="G144">
        <v>0.12</v>
      </c>
      <c r="H144">
        <v>137</v>
      </c>
      <c r="I144">
        <f t="shared" si="4"/>
        <v>25.704336558746487</v>
      </c>
      <c r="J144">
        <f t="shared" ref="J144" si="10">I144-C144</f>
        <v>-0.56286868376816912</v>
      </c>
      <c r="K144">
        <f t="shared" ref="K144" si="11">I144/C144</f>
        <v>0.97857142857142865</v>
      </c>
    </row>
    <row r="145" spans="1:11" x14ac:dyDescent="0.25">
      <c r="A145" t="s">
        <v>138</v>
      </c>
      <c r="B145">
        <v>140</v>
      </c>
      <c r="C145">
        <f t="shared" si="7"/>
        <v>26.267205242514656</v>
      </c>
      <c r="D145">
        <v>200</v>
      </c>
      <c r="E145">
        <v>137</v>
      </c>
      <c r="F145">
        <v>0.8</v>
      </c>
      <c r="G145">
        <v>0.12</v>
      </c>
      <c r="H145">
        <v>137</v>
      </c>
      <c r="I145">
        <f t="shared" si="4"/>
        <v>25.704336558746487</v>
      </c>
      <c r="J145">
        <f t="shared" ref="J145:J146" si="12">I145-C145</f>
        <v>-0.56286868376816912</v>
      </c>
      <c r="K145">
        <f t="shared" ref="K145:K146" si="13">I145/C145</f>
        <v>0.97857142857142865</v>
      </c>
    </row>
    <row r="146" spans="1:11" x14ac:dyDescent="0.25">
      <c r="A146" t="s">
        <v>138</v>
      </c>
      <c r="B146">
        <v>140</v>
      </c>
      <c r="C146">
        <f t="shared" si="7"/>
        <v>26.267205242514656</v>
      </c>
      <c r="D146">
        <v>200</v>
      </c>
      <c r="E146">
        <v>137</v>
      </c>
      <c r="F146">
        <v>0.8</v>
      </c>
      <c r="G146">
        <v>0.12</v>
      </c>
      <c r="H146">
        <v>139</v>
      </c>
      <c r="I146">
        <f t="shared" si="4"/>
        <v>26.079582347925271</v>
      </c>
      <c r="J146">
        <f t="shared" si="12"/>
        <v>-0.18762289458938497</v>
      </c>
      <c r="K146">
        <f t="shared" si="13"/>
        <v>0.9928571428571431</v>
      </c>
    </row>
    <row r="147" spans="1:11" x14ac:dyDescent="0.25">
      <c r="A147" t="s">
        <v>138</v>
      </c>
      <c r="B147">
        <v>140</v>
      </c>
      <c r="C147">
        <f t="shared" si="7"/>
        <v>26.267205242514656</v>
      </c>
      <c r="D147">
        <v>200</v>
      </c>
      <c r="E147">
        <v>135</v>
      </c>
      <c r="F147">
        <v>0.8</v>
      </c>
      <c r="G147">
        <v>0.12</v>
      </c>
      <c r="H147">
        <v>140</v>
      </c>
      <c r="I147">
        <f t="shared" si="4"/>
        <v>26.267205242514656</v>
      </c>
      <c r="J147">
        <f t="shared" ref="J147:J150" si="14">I147-C147</f>
        <v>0</v>
      </c>
      <c r="K147">
        <f t="shared" ref="K147:K150" si="15">I147/C147</f>
        <v>1</v>
      </c>
    </row>
    <row r="148" spans="1:11" x14ac:dyDescent="0.25">
      <c r="A148" t="s">
        <v>138</v>
      </c>
      <c r="B148">
        <v>140</v>
      </c>
      <c r="C148">
        <f t="shared" si="7"/>
        <v>26.267205242514656</v>
      </c>
      <c r="D148">
        <v>200</v>
      </c>
      <c r="E148">
        <v>135</v>
      </c>
      <c r="F148">
        <v>0.8</v>
      </c>
      <c r="G148">
        <v>0.12</v>
      </c>
      <c r="H148">
        <v>141</v>
      </c>
      <c r="I148">
        <f t="shared" si="4"/>
        <v>26.454828137104052</v>
      </c>
      <c r="J148">
        <f t="shared" si="14"/>
        <v>0.18762289458939563</v>
      </c>
      <c r="K148">
        <f t="shared" si="15"/>
        <v>1.0071428571428573</v>
      </c>
    </row>
    <row r="149" spans="1:11" x14ac:dyDescent="0.25">
      <c r="A149" t="s">
        <v>138</v>
      </c>
      <c r="B149">
        <v>140</v>
      </c>
      <c r="C149">
        <f t="shared" si="7"/>
        <v>26.267205242514656</v>
      </c>
      <c r="D149">
        <v>200</v>
      </c>
      <c r="E149">
        <v>135</v>
      </c>
      <c r="F149">
        <v>0.8</v>
      </c>
      <c r="G149">
        <v>0.12</v>
      </c>
      <c r="H149">
        <v>140</v>
      </c>
      <c r="I149">
        <f t="shared" si="4"/>
        <v>26.267205242514656</v>
      </c>
      <c r="J149">
        <f t="shared" si="14"/>
        <v>0</v>
      </c>
      <c r="K149">
        <f t="shared" si="15"/>
        <v>1</v>
      </c>
    </row>
    <row r="150" spans="1:11" x14ac:dyDescent="0.25">
      <c r="A150" t="s">
        <v>138</v>
      </c>
      <c r="B150">
        <v>90</v>
      </c>
      <c r="C150">
        <f t="shared" si="7"/>
        <v>16.886060513045138</v>
      </c>
      <c r="D150">
        <v>200</v>
      </c>
      <c r="E150">
        <v>135</v>
      </c>
      <c r="F150">
        <v>0.8</v>
      </c>
      <c r="G150">
        <v>0.12</v>
      </c>
      <c r="H150">
        <v>88</v>
      </c>
      <c r="I150">
        <f t="shared" si="4"/>
        <v>16.510814723866357</v>
      </c>
      <c r="J150">
        <f t="shared" si="14"/>
        <v>-0.3752457891787806</v>
      </c>
      <c r="K150">
        <f t="shared" si="15"/>
        <v>0.97777777777777775</v>
      </c>
    </row>
    <row r="151" spans="1:11" x14ac:dyDescent="0.25">
      <c r="A151" t="s">
        <v>138</v>
      </c>
      <c r="B151">
        <v>90</v>
      </c>
      <c r="C151">
        <f t="shared" si="7"/>
        <v>16.886060513045138</v>
      </c>
      <c r="D151">
        <v>200</v>
      </c>
      <c r="E151">
        <v>135</v>
      </c>
      <c r="F151">
        <v>0.8</v>
      </c>
      <c r="G151">
        <v>0.12</v>
      </c>
      <c r="H151">
        <v>75</v>
      </c>
      <c r="I151">
        <f t="shared" si="4"/>
        <v>14.071717094204281</v>
      </c>
      <c r="J151">
        <f t="shared" ref="J151:J152" si="16">I151-C151</f>
        <v>-2.8143434188408563</v>
      </c>
      <c r="K151">
        <f t="shared" ref="K151:K152" si="17">I151/C151</f>
        <v>0.83333333333333337</v>
      </c>
    </row>
    <row r="152" spans="1:11" x14ac:dyDescent="0.25">
      <c r="A152" t="s">
        <v>138</v>
      </c>
      <c r="B152">
        <v>90</v>
      </c>
      <c r="C152">
        <f t="shared" si="7"/>
        <v>16.886060513045138</v>
      </c>
      <c r="D152">
        <v>200</v>
      </c>
      <c r="E152">
        <v>135</v>
      </c>
      <c r="F152">
        <v>0.8</v>
      </c>
      <c r="G152">
        <v>0.12</v>
      </c>
      <c r="H152">
        <v>80</v>
      </c>
      <c r="I152">
        <f t="shared" si="4"/>
        <v>15.009831567151233</v>
      </c>
      <c r="J152">
        <f t="shared" si="16"/>
        <v>-1.8762289458939048</v>
      </c>
      <c r="K152">
        <f t="shared" si="17"/>
        <v>0.88888888888888884</v>
      </c>
    </row>
    <row r="153" spans="1:11" x14ac:dyDescent="0.25">
      <c r="A153" t="s">
        <v>138</v>
      </c>
      <c r="B153">
        <v>90</v>
      </c>
      <c r="C153">
        <f t="shared" si="7"/>
        <v>16.886060513045138</v>
      </c>
      <c r="D153">
        <v>200</v>
      </c>
      <c r="E153">
        <v>135</v>
      </c>
      <c r="F153">
        <v>0.8</v>
      </c>
      <c r="G153">
        <v>0.12</v>
      </c>
      <c r="H153">
        <v>77</v>
      </c>
      <c r="I153">
        <f t="shared" si="4"/>
        <v>14.446962883383064</v>
      </c>
      <c r="J153">
        <f t="shared" ref="J153:J154" si="18">I153-C153</f>
        <v>-2.4390976296620739</v>
      </c>
      <c r="K153">
        <f t="shared" ref="K153:K154" si="19">I153/C153</f>
        <v>0.85555555555555562</v>
      </c>
    </row>
    <row r="154" spans="1:11" x14ac:dyDescent="0.25">
      <c r="A154" t="s">
        <v>138</v>
      </c>
      <c r="B154">
        <v>90</v>
      </c>
      <c r="C154">
        <f t="shared" si="7"/>
        <v>16.886060513045138</v>
      </c>
      <c r="D154">
        <v>200</v>
      </c>
      <c r="E154">
        <v>135</v>
      </c>
      <c r="F154">
        <v>0.8</v>
      </c>
      <c r="G154">
        <v>0.12</v>
      </c>
      <c r="H154">
        <v>74</v>
      </c>
      <c r="I154">
        <f t="shared" si="4"/>
        <v>13.884094199614891</v>
      </c>
      <c r="J154">
        <f t="shared" si="18"/>
        <v>-3.0019663134302466</v>
      </c>
      <c r="K154">
        <f t="shared" si="19"/>
        <v>0.82222222222222219</v>
      </c>
    </row>
    <row r="155" spans="1:11" x14ac:dyDescent="0.25">
      <c r="A155" t="s">
        <v>138</v>
      </c>
      <c r="B155">
        <v>180</v>
      </c>
      <c r="C155">
        <f t="shared" si="7"/>
        <v>33.772121026090275</v>
      </c>
      <c r="D155">
        <v>200</v>
      </c>
      <c r="E155">
        <v>135</v>
      </c>
      <c r="F155">
        <v>0.8</v>
      </c>
      <c r="G155">
        <v>0.12</v>
      </c>
      <c r="H155">
        <v>186</v>
      </c>
      <c r="I155">
        <f t="shared" si="4"/>
        <v>34.89785839362662</v>
      </c>
      <c r="J155">
        <f t="shared" ref="J155" si="20">I155-C155</f>
        <v>1.1257373675363453</v>
      </c>
      <c r="K155">
        <f t="shared" ref="K155" si="21">I155/C155</f>
        <v>1.0333333333333334</v>
      </c>
    </row>
    <row r="156" spans="1:11" x14ac:dyDescent="0.25">
      <c r="A156" t="s">
        <v>138</v>
      </c>
      <c r="B156">
        <v>180</v>
      </c>
      <c r="C156">
        <f t="shared" si="7"/>
        <v>33.772121026090275</v>
      </c>
      <c r="D156">
        <v>200</v>
      </c>
      <c r="E156">
        <v>135</v>
      </c>
      <c r="F156">
        <v>0.8</v>
      </c>
      <c r="G156">
        <v>0.12</v>
      </c>
      <c r="H156">
        <v>175</v>
      </c>
      <c r="I156">
        <f t="shared" si="4"/>
        <v>32.834006553143325</v>
      </c>
      <c r="J156">
        <f t="shared" ref="J156" si="22">I156-C156</f>
        <v>-0.93811447294694972</v>
      </c>
      <c r="K156">
        <f t="shared" ref="K156" si="23">I156/C156</f>
        <v>0.97222222222222232</v>
      </c>
    </row>
    <row r="157" spans="1:11" x14ac:dyDescent="0.25">
      <c r="A157" t="s">
        <v>138</v>
      </c>
      <c r="B157">
        <v>180</v>
      </c>
      <c r="C157">
        <f t="shared" si="7"/>
        <v>33.772121026090275</v>
      </c>
      <c r="D157">
        <v>200</v>
      </c>
      <c r="E157">
        <v>135</v>
      </c>
      <c r="F157">
        <v>0.8</v>
      </c>
      <c r="G157">
        <v>0.12</v>
      </c>
      <c r="H157">
        <v>192</v>
      </c>
      <c r="I157">
        <f t="shared" si="4"/>
        <v>36.023595761162959</v>
      </c>
      <c r="J157">
        <f t="shared" ref="J157:J159" si="24">I157-C157</f>
        <v>2.2514747350726836</v>
      </c>
      <c r="K157">
        <f t="shared" ref="K157:K159" si="25">I157/C157</f>
        <v>1.0666666666666667</v>
      </c>
    </row>
    <row r="158" spans="1:11" x14ac:dyDescent="0.25">
      <c r="A158" t="s">
        <v>138</v>
      </c>
      <c r="B158">
        <v>180</v>
      </c>
      <c r="C158">
        <f t="shared" si="7"/>
        <v>33.772121026090275</v>
      </c>
      <c r="D158">
        <v>200</v>
      </c>
      <c r="E158">
        <v>135</v>
      </c>
      <c r="F158">
        <v>0.6</v>
      </c>
      <c r="G158">
        <v>0.12</v>
      </c>
      <c r="H158">
        <v>190</v>
      </c>
      <c r="I158">
        <f t="shared" si="4"/>
        <v>35.648349971984182</v>
      </c>
      <c r="J158">
        <f t="shared" si="24"/>
        <v>1.8762289458939065</v>
      </c>
      <c r="K158">
        <f t="shared" si="25"/>
        <v>1.0555555555555556</v>
      </c>
    </row>
    <row r="159" spans="1:11" x14ac:dyDescent="0.25">
      <c r="A159" t="s">
        <v>138</v>
      </c>
      <c r="B159">
        <v>180</v>
      </c>
      <c r="C159">
        <f t="shared" si="7"/>
        <v>33.772121026090275</v>
      </c>
      <c r="D159">
        <v>200</v>
      </c>
      <c r="E159">
        <v>135</v>
      </c>
      <c r="F159">
        <v>0.4</v>
      </c>
      <c r="G159">
        <v>0.12</v>
      </c>
      <c r="H159">
        <v>162</v>
      </c>
      <c r="I159">
        <f t="shared" si="4"/>
        <v>30.394908923481246</v>
      </c>
      <c r="J159">
        <f t="shared" si="24"/>
        <v>-3.3772121026090289</v>
      </c>
      <c r="K159">
        <f t="shared" si="25"/>
        <v>0.89999999999999991</v>
      </c>
    </row>
    <row r="160" spans="1:11" x14ac:dyDescent="0.25">
      <c r="A160" t="s">
        <v>138</v>
      </c>
      <c r="B160">
        <v>180</v>
      </c>
      <c r="C160">
        <f t="shared" si="7"/>
        <v>33.772121026090275</v>
      </c>
      <c r="D160">
        <v>200</v>
      </c>
      <c r="E160">
        <v>135</v>
      </c>
      <c r="F160">
        <v>0.4</v>
      </c>
      <c r="G160">
        <v>0.12</v>
      </c>
      <c r="H160">
        <v>158</v>
      </c>
      <c r="I160">
        <f t="shared" si="4"/>
        <v>29.644417345123689</v>
      </c>
      <c r="J160">
        <f t="shared" ref="J160:J161" si="26">I160-C160</f>
        <v>-4.1277036809665866</v>
      </c>
      <c r="K160">
        <f t="shared" ref="K160:K161" si="27">I160/C160</f>
        <v>0.87777777777777788</v>
      </c>
    </row>
    <row r="161" spans="1:11" x14ac:dyDescent="0.25">
      <c r="A161" t="s">
        <v>138</v>
      </c>
      <c r="B161">
        <v>90</v>
      </c>
      <c r="C161">
        <f t="shared" si="7"/>
        <v>16.886060513045138</v>
      </c>
      <c r="D161">
        <v>200</v>
      </c>
      <c r="E161">
        <v>135</v>
      </c>
      <c r="F161">
        <v>0.4</v>
      </c>
      <c r="G161">
        <v>0.12</v>
      </c>
      <c r="H161">
        <v>76</v>
      </c>
      <c r="I161">
        <f t="shared" si="4"/>
        <v>14.259339988793672</v>
      </c>
      <c r="J161">
        <f t="shared" si="26"/>
        <v>-2.626720524251466</v>
      </c>
      <c r="K161">
        <f t="shared" si="27"/>
        <v>0.84444444444444444</v>
      </c>
    </row>
    <row r="162" spans="1:11" x14ac:dyDescent="0.25">
      <c r="A162" t="s">
        <v>138</v>
      </c>
      <c r="B162">
        <v>90</v>
      </c>
      <c r="C162">
        <f t="shared" si="7"/>
        <v>16.886060513045138</v>
      </c>
      <c r="D162">
        <v>200</v>
      </c>
      <c r="E162">
        <v>135</v>
      </c>
      <c r="F162">
        <v>0.4</v>
      </c>
      <c r="G162">
        <v>0.12</v>
      </c>
      <c r="H162">
        <v>75</v>
      </c>
      <c r="I162">
        <f t="shared" si="4"/>
        <v>14.071717094204281</v>
      </c>
      <c r="J162">
        <f t="shared" ref="J162:J166" si="28">I162-C162</f>
        <v>-2.8143434188408563</v>
      </c>
      <c r="K162">
        <f t="shared" ref="K162:K166" si="29">I162/C162</f>
        <v>0.83333333333333337</v>
      </c>
    </row>
    <row r="163" spans="1:11" x14ac:dyDescent="0.25">
      <c r="A163" t="s">
        <v>138</v>
      </c>
      <c r="B163">
        <v>90</v>
      </c>
      <c r="C163">
        <f t="shared" si="7"/>
        <v>16.886060513045138</v>
      </c>
      <c r="D163">
        <v>200</v>
      </c>
      <c r="E163">
        <v>135</v>
      </c>
      <c r="F163">
        <v>0.4</v>
      </c>
      <c r="G163">
        <v>0.12</v>
      </c>
      <c r="H163">
        <v>67</v>
      </c>
      <c r="I163">
        <f t="shared" si="4"/>
        <v>12.570733937489159</v>
      </c>
      <c r="J163">
        <f t="shared" si="28"/>
        <v>-4.3153265755559786</v>
      </c>
      <c r="K163">
        <f t="shared" si="29"/>
        <v>0.74444444444444446</v>
      </c>
    </row>
    <row r="164" spans="1:11" x14ac:dyDescent="0.25">
      <c r="A164" t="s">
        <v>138</v>
      </c>
      <c r="B164">
        <v>140</v>
      </c>
      <c r="C164">
        <f t="shared" si="7"/>
        <v>26.267205242514656</v>
      </c>
      <c r="D164">
        <v>200</v>
      </c>
      <c r="E164">
        <v>135</v>
      </c>
      <c r="F164">
        <v>0.4</v>
      </c>
      <c r="G164">
        <v>0.12</v>
      </c>
      <c r="H164">
        <v>135</v>
      </c>
      <c r="I164">
        <f t="shared" si="4"/>
        <v>25.329090769567706</v>
      </c>
      <c r="J164">
        <f t="shared" si="28"/>
        <v>-0.93811447294694972</v>
      </c>
      <c r="K164">
        <f t="shared" si="29"/>
        <v>0.96428571428571441</v>
      </c>
    </row>
    <row r="165" spans="1:11" x14ac:dyDescent="0.25">
      <c r="A165" t="s">
        <v>138</v>
      </c>
      <c r="B165">
        <v>140</v>
      </c>
      <c r="C165">
        <f t="shared" si="7"/>
        <v>26.267205242514656</v>
      </c>
      <c r="D165">
        <v>200</v>
      </c>
      <c r="E165">
        <v>135</v>
      </c>
      <c r="F165">
        <v>0.4</v>
      </c>
      <c r="G165">
        <v>0.12</v>
      </c>
      <c r="H165">
        <v>115</v>
      </c>
      <c r="I165">
        <f t="shared" si="4"/>
        <v>21.5766328777799</v>
      </c>
      <c r="J165">
        <f t="shared" si="28"/>
        <v>-4.6905723647347557</v>
      </c>
      <c r="K165">
        <f t="shared" si="29"/>
        <v>0.82142857142857162</v>
      </c>
    </row>
    <row r="166" spans="1:11" x14ac:dyDescent="0.25">
      <c r="A166" t="s">
        <v>138</v>
      </c>
      <c r="B166">
        <v>140</v>
      </c>
      <c r="C166">
        <f t="shared" si="7"/>
        <v>26.267205242514656</v>
      </c>
      <c r="D166">
        <v>200</v>
      </c>
      <c r="E166">
        <v>135</v>
      </c>
      <c r="F166">
        <v>0.4</v>
      </c>
      <c r="G166">
        <v>0.12</v>
      </c>
      <c r="H166">
        <v>124</v>
      </c>
      <c r="I166">
        <f t="shared" si="4"/>
        <v>23.265238929084415</v>
      </c>
      <c r="J166">
        <f t="shared" si="28"/>
        <v>-3.0019663134302412</v>
      </c>
      <c r="K166">
        <f t="shared" si="29"/>
        <v>0.8857142857142859</v>
      </c>
    </row>
    <row r="167" spans="1:11" x14ac:dyDescent="0.25">
      <c r="A167" t="s">
        <v>138</v>
      </c>
      <c r="B167">
        <v>140</v>
      </c>
      <c r="C167">
        <f t="shared" si="7"/>
        <v>26.267205242514656</v>
      </c>
      <c r="D167">
        <v>200</v>
      </c>
      <c r="E167">
        <v>116</v>
      </c>
      <c r="F167">
        <v>0.4</v>
      </c>
      <c r="G167">
        <v>0.12</v>
      </c>
      <c r="H167">
        <v>143</v>
      </c>
      <c r="I167">
        <f t="shared" si="4"/>
        <v>26.830073926282829</v>
      </c>
      <c r="J167">
        <f t="shared" ref="J167:J176" si="30">I167-C167</f>
        <v>0.56286868376817267</v>
      </c>
      <c r="K167">
        <f t="shared" ref="K167:K176" si="31">I167/C167</f>
        <v>1.0214285714285716</v>
      </c>
    </row>
    <row r="168" spans="1:11" x14ac:dyDescent="0.25">
      <c r="A168" t="s">
        <v>138</v>
      </c>
      <c r="B168">
        <v>140</v>
      </c>
      <c r="C168">
        <f t="shared" si="7"/>
        <v>26.267205242514656</v>
      </c>
      <c r="D168">
        <v>200</v>
      </c>
      <c r="E168">
        <v>116</v>
      </c>
      <c r="F168">
        <v>0.4</v>
      </c>
      <c r="G168">
        <v>0.12</v>
      </c>
      <c r="H168">
        <v>143</v>
      </c>
      <c r="I168">
        <f t="shared" si="4"/>
        <v>26.830073926282829</v>
      </c>
      <c r="J168">
        <f t="shared" si="30"/>
        <v>0.56286868376817267</v>
      </c>
      <c r="K168">
        <f t="shared" si="31"/>
        <v>1.0214285714285716</v>
      </c>
    </row>
    <row r="169" spans="1:11" x14ac:dyDescent="0.25">
      <c r="A169" t="s">
        <v>138</v>
      </c>
      <c r="B169">
        <v>140</v>
      </c>
      <c r="C169">
        <f t="shared" si="7"/>
        <v>26.267205242514656</v>
      </c>
      <c r="D169">
        <v>200</v>
      </c>
      <c r="E169">
        <v>116</v>
      </c>
      <c r="F169">
        <v>0.4</v>
      </c>
      <c r="G169">
        <v>0.12</v>
      </c>
      <c r="H169">
        <v>143.5</v>
      </c>
      <c r="I169">
        <f t="shared" si="4"/>
        <v>26.923885373577523</v>
      </c>
      <c r="J169">
        <f t="shared" si="30"/>
        <v>0.65668013106286693</v>
      </c>
      <c r="K169">
        <f t="shared" si="31"/>
        <v>1.0249999999999999</v>
      </c>
    </row>
    <row r="170" spans="1:11" x14ac:dyDescent="0.25">
      <c r="A170" t="s">
        <v>138</v>
      </c>
      <c r="B170">
        <v>90</v>
      </c>
      <c r="C170">
        <f t="shared" si="7"/>
        <v>16.886060513045138</v>
      </c>
      <c r="D170">
        <v>200</v>
      </c>
      <c r="E170">
        <v>116</v>
      </c>
      <c r="F170">
        <v>0.4</v>
      </c>
      <c r="G170">
        <v>0.12</v>
      </c>
      <c r="H170">
        <v>91</v>
      </c>
      <c r="I170">
        <f t="shared" si="4"/>
        <v>17.073683407634526</v>
      </c>
      <c r="J170">
        <f t="shared" si="30"/>
        <v>0.18762289458938852</v>
      </c>
      <c r="K170">
        <f t="shared" si="31"/>
        <v>1.0111111111111111</v>
      </c>
    </row>
    <row r="171" spans="1:11" x14ac:dyDescent="0.25">
      <c r="A171" t="s">
        <v>138</v>
      </c>
      <c r="B171">
        <v>90</v>
      </c>
      <c r="C171">
        <f t="shared" si="7"/>
        <v>16.886060513045138</v>
      </c>
      <c r="D171">
        <v>200</v>
      </c>
      <c r="E171">
        <v>116</v>
      </c>
      <c r="F171">
        <v>0.4</v>
      </c>
      <c r="G171">
        <v>0.12</v>
      </c>
      <c r="H171">
        <v>89.5</v>
      </c>
      <c r="I171">
        <f t="shared" si="4"/>
        <v>16.792249065750443</v>
      </c>
      <c r="J171">
        <f t="shared" si="30"/>
        <v>-9.3811447294694261E-2</v>
      </c>
      <c r="K171">
        <f t="shared" si="31"/>
        <v>0.99444444444444446</v>
      </c>
    </row>
    <row r="172" spans="1:11" x14ac:dyDescent="0.25">
      <c r="A172" t="s">
        <v>138</v>
      </c>
      <c r="B172">
        <v>90</v>
      </c>
      <c r="C172">
        <f t="shared" si="7"/>
        <v>16.886060513045138</v>
      </c>
      <c r="D172">
        <v>200</v>
      </c>
      <c r="E172">
        <v>116</v>
      </c>
      <c r="F172">
        <v>0.4</v>
      </c>
      <c r="G172">
        <v>0.12</v>
      </c>
      <c r="H172">
        <v>92</v>
      </c>
      <c r="I172">
        <f t="shared" si="4"/>
        <v>17.261306302223918</v>
      </c>
      <c r="J172">
        <f t="shared" si="30"/>
        <v>0.3752457891787806</v>
      </c>
      <c r="K172">
        <f t="shared" si="31"/>
        <v>1.0222222222222221</v>
      </c>
    </row>
    <row r="173" spans="1:11" x14ac:dyDescent="0.25">
      <c r="A173" t="s">
        <v>138</v>
      </c>
      <c r="B173">
        <v>90</v>
      </c>
      <c r="C173">
        <f t="shared" si="7"/>
        <v>16.886060513045138</v>
      </c>
      <c r="D173">
        <v>200</v>
      </c>
      <c r="E173">
        <v>116</v>
      </c>
      <c r="F173">
        <v>0.4</v>
      </c>
      <c r="G173">
        <v>0.12</v>
      </c>
      <c r="H173">
        <v>91</v>
      </c>
      <c r="I173">
        <f t="shared" si="4"/>
        <v>17.073683407634526</v>
      </c>
      <c r="J173">
        <f t="shared" si="30"/>
        <v>0.18762289458938852</v>
      </c>
      <c r="K173">
        <f t="shared" si="31"/>
        <v>1.0111111111111111</v>
      </c>
    </row>
    <row r="174" spans="1:11" x14ac:dyDescent="0.25">
      <c r="A174" t="s">
        <v>138</v>
      </c>
      <c r="B174">
        <v>180</v>
      </c>
      <c r="C174">
        <f t="shared" si="7"/>
        <v>33.772121026090275</v>
      </c>
      <c r="D174">
        <v>200</v>
      </c>
      <c r="E174">
        <v>116</v>
      </c>
      <c r="F174">
        <v>0.4</v>
      </c>
      <c r="G174">
        <v>0.12</v>
      </c>
      <c r="H174">
        <v>175</v>
      </c>
      <c r="I174">
        <f t="shared" si="4"/>
        <v>32.834006553143325</v>
      </c>
      <c r="J174">
        <f t="shared" si="30"/>
        <v>-0.93811447294694972</v>
      </c>
      <c r="K174">
        <f t="shared" si="31"/>
        <v>0.97222222222222232</v>
      </c>
    </row>
    <row r="175" spans="1:11" x14ac:dyDescent="0.25">
      <c r="A175" t="s">
        <v>138</v>
      </c>
      <c r="B175">
        <v>180</v>
      </c>
      <c r="C175">
        <f t="shared" si="7"/>
        <v>33.772121026090275</v>
      </c>
      <c r="D175">
        <v>200</v>
      </c>
      <c r="E175">
        <v>116</v>
      </c>
      <c r="F175">
        <v>0.4</v>
      </c>
      <c r="G175">
        <v>0.12</v>
      </c>
      <c r="H175">
        <v>170</v>
      </c>
      <c r="I175">
        <f t="shared" si="4"/>
        <v>31.895892080196372</v>
      </c>
      <c r="J175">
        <f t="shared" si="30"/>
        <v>-1.876228945893903</v>
      </c>
      <c r="K175">
        <f t="shared" si="31"/>
        <v>0.94444444444444453</v>
      </c>
    </row>
    <row r="176" spans="1:11" x14ac:dyDescent="0.25">
      <c r="A176" t="s">
        <v>138</v>
      </c>
      <c r="B176">
        <v>180</v>
      </c>
      <c r="C176">
        <f t="shared" si="7"/>
        <v>33.772121026090275</v>
      </c>
      <c r="D176">
        <v>200</v>
      </c>
      <c r="E176">
        <v>116</v>
      </c>
      <c r="F176">
        <v>0.4</v>
      </c>
      <c r="G176">
        <v>0.12</v>
      </c>
      <c r="H176">
        <v>169</v>
      </c>
      <c r="I176">
        <f t="shared" si="4"/>
        <v>31.708269185606984</v>
      </c>
      <c r="J176">
        <f t="shared" si="30"/>
        <v>-2.0638518404832915</v>
      </c>
      <c r="K176">
        <f t="shared" si="31"/>
        <v>0.93888888888888899</v>
      </c>
    </row>
  </sheetData>
  <autoFilter ref="A15:K157" xr:uid="{3DFE346B-E3F5-4DC3-A651-117CC0AA7E6C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AngleFunction</vt:lpstr>
      <vt:lpstr>Function</vt:lpstr>
      <vt:lpstr>Std Dev</vt:lpstr>
      <vt:lpstr>Stat Calculator</vt:lpstr>
      <vt:lpstr>Interpolate</vt:lpstr>
      <vt:lpstr>Calibration</vt:lpstr>
      <vt:lpstr>Shooting</vt:lpstr>
      <vt:lpstr>ShootSpeed</vt:lpstr>
      <vt:lpstr>Data Summary</vt:lpstr>
      <vt:lpstr>Motor k</vt:lpstr>
      <vt:lpstr>DriveDist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2025-03-01T21:55:31Z</dcterms:created>
  <dcterms:modified xsi:type="dcterms:W3CDTF">2026-03-14T23:15:37Z</dcterms:modified>
</cp:coreProperties>
</file>