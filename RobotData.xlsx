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\Documents\GitHub\robotics-2026\"/>
    </mc:Choice>
  </mc:AlternateContent>
  <xr:revisionPtr revIDLastSave="0" documentId="13_ncr:1_{C60E81E7-058E-45F7-89DF-D52AC258D253}" xr6:coauthVersionLast="47" xr6:coauthVersionMax="47" xr10:uidLastSave="{00000000-0000-0000-0000-000000000000}"/>
  <bookViews>
    <workbookView xWindow="-120" yWindow="-120" windowWidth="29040" windowHeight="15840" firstSheet="2" activeTab="8" xr2:uid="{FC88B133-5631-431F-8B38-05BF9FDD5FAD}"/>
  </bookViews>
  <sheets>
    <sheet name="AngleFunction" sheetId="20" r:id="rId1"/>
    <sheet name="Function" sheetId="3" r:id="rId2"/>
    <sheet name="Std Dev" sheetId="23" r:id="rId3"/>
    <sheet name="Stat Calculator" sheetId="25" r:id="rId4"/>
    <sheet name="Interpolate" sheetId="26" r:id="rId5"/>
    <sheet name="Calibration" sheetId="21" r:id="rId6"/>
    <sheet name="Shooting" sheetId="22" r:id="rId7"/>
    <sheet name="ShootSpeed" sheetId="27" r:id="rId8"/>
    <sheet name="Data Summary" sheetId="28" r:id="rId9"/>
  </sheets>
  <definedNames>
    <definedName name="_xlnm._FilterDatabase" localSheetId="5" hidden="1">Calibration!$A$24:$J$55</definedName>
    <definedName name="_xlnm._FilterDatabase" localSheetId="6" hidden="1">Shooting!$A$17:$S$331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8" l="1"/>
  <c r="I3" i="28"/>
  <c r="J3" i="28"/>
  <c r="K3" i="28"/>
  <c r="L3" i="28"/>
  <c r="M3" i="28"/>
  <c r="N3" i="28"/>
  <c r="O3" i="28"/>
  <c r="P3" i="28"/>
  <c r="Q3" i="28"/>
  <c r="R3" i="28"/>
  <c r="S3" i="28"/>
  <c r="T3" i="28"/>
  <c r="G3" i="28"/>
  <c r="F3" i="28"/>
  <c r="G4" i="28"/>
  <c r="Q3" i="27"/>
  <c r="Q4" i="27"/>
  <c r="Q5" i="27"/>
  <c r="Q6" i="27"/>
  <c r="Q2" i="27"/>
  <c r="O3" i="27"/>
  <c r="P3" i="27"/>
  <c r="O4" i="27"/>
  <c r="P4" i="27"/>
  <c r="O5" i="27"/>
  <c r="P5" i="27"/>
  <c r="O6" i="27"/>
  <c r="P6" i="27"/>
  <c r="P2" i="27"/>
  <c r="O2" i="27"/>
  <c r="N3" i="27"/>
  <c r="N4" i="27"/>
  <c r="N5" i="27"/>
  <c r="N6" i="27"/>
  <c r="N2" i="27"/>
  <c r="L2" i="22"/>
  <c r="M2" i="22"/>
  <c r="N2" i="22"/>
  <c r="O2" i="22" a="1"/>
  <c r="O2" i="22" s="1"/>
  <c r="P2" i="22" a="1"/>
  <c r="P2" i="22" s="1"/>
  <c r="Q2" i="22" a="1"/>
  <c r="Q2" i="22" s="1"/>
  <c r="I306" i="22"/>
  <c r="I307" i="22"/>
  <c r="I308" i="22"/>
  <c r="I309" i="22"/>
  <c r="I310" i="22"/>
  <c r="I311" i="22"/>
  <c r="I312" i="22"/>
  <c r="I313" i="22"/>
  <c r="I314" i="22"/>
  <c r="I315" i="22"/>
  <c r="I316" i="22"/>
  <c r="I317" i="22"/>
  <c r="I318" i="22"/>
  <c r="I319" i="22"/>
  <c r="I320" i="22"/>
  <c r="I321" i="22"/>
  <c r="I322" i="22"/>
  <c r="I323" i="22"/>
  <c r="I324" i="22"/>
  <c r="I325" i="22"/>
  <c r="I326" i="22"/>
  <c r="I327" i="22"/>
  <c r="I328" i="22"/>
  <c r="I329" i="22"/>
  <c r="I330" i="22"/>
  <c r="I331" i="22"/>
  <c r="S5" i="28" l="1"/>
  <c r="R6" i="28"/>
  <c r="S4" i="28"/>
  <c r="F5" i="28"/>
  <c r="G5" i="28" s="1"/>
  <c r="F6" i="28"/>
  <c r="G6" i="28" s="1"/>
  <c r="F7" i="28"/>
  <c r="G7" i="28" s="1"/>
  <c r="F4" i="28"/>
  <c r="M2" i="27" a="1"/>
  <c r="M2" i="27" s="1"/>
  <c r="L2" i="27"/>
  <c r="M4" i="27" a="1"/>
  <c r="M4" i="27" s="1"/>
  <c r="M5" i="27" a="1"/>
  <c r="M5" i="27" s="1"/>
  <c r="M6" i="27" a="1"/>
  <c r="M6" i="27" s="1"/>
  <c r="M3" i="27" a="1"/>
  <c r="M3" i="27" s="1"/>
  <c r="L4" i="27"/>
  <c r="L5" i="27"/>
  <c r="L6" i="27"/>
  <c r="L3" i="27"/>
  <c r="K20" i="25"/>
  <c r="K13" i="25"/>
  <c r="M13" i="25" s="1"/>
  <c r="K5" i="25"/>
  <c r="C6" i="26"/>
  <c r="E27" i="25"/>
  <c r="E20" i="25"/>
  <c r="E13" i="25"/>
  <c r="E5" i="25"/>
  <c r="L29" i="23"/>
  <c r="D29" i="23"/>
  <c r="K28" i="23"/>
  <c r="D28" i="23"/>
  <c r="J28" i="23" s="1"/>
  <c r="L27" i="23"/>
  <c r="K27" i="23"/>
  <c r="I27" i="23"/>
  <c r="H27" i="23"/>
  <c r="G27" i="23"/>
  <c r="D27" i="23"/>
  <c r="J27" i="23" s="1"/>
  <c r="L26" i="23"/>
  <c r="K26" i="23"/>
  <c r="J26" i="23"/>
  <c r="H26" i="23"/>
  <c r="G26" i="23"/>
  <c r="F26" i="23"/>
  <c r="D26" i="23"/>
  <c r="I26" i="23" s="1"/>
  <c r="K25" i="23"/>
  <c r="G25" i="23"/>
  <c r="D25" i="23"/>
  <c r="J25" i="23" s="1"/>
  <c r="D24" i="23"/>
  <c r="K24" i="23" s="1"/>
  <c r="R7" i="28" l="1"/>
  <c r="T7" i="28"/>
  <c r="K7" i="28"/>
  <c r="R4" i="28"/>
  <c r="Q7" i="28"/>
  <c r="Q6" i="28"/>
  <c r="R5" i="28"/>
  <c r="P7" i="28"/>
  <c r="L7" i="28"/>
  <c r="P4" i="28"/>
  <c r="Q4" i="28"/>
  <c r="T6" i="28"/>
  <c r="P6" i="28"/>
  <c r="Q5" i="28"/>
  <c r="O7" i="28"/>
  <c r="T4" i="28"/>
  <c r="S7" i="28"/>
  <c r="S6" i="28"/>
  <c r="T5" i="28"/>
  <c r="P5" i="28"/>
  <c r="O6" i="28"/>
  <c r="L6" i="28"/>
  <c r="M4" i="28"/>
  <c r="K6" i="28"/>
  <c r="I4" i="28"/>
  <c r="H7" i="28"/>
  <c r="H6" i="28"/>
  <c r="L5" i="28"/>
  <c r="H4" i="28"/>
  <c r="K5" i="28"/>
  <c r="O4" i="28"/>
  <c r="K4" i="28"/>
  <c r="N7" i="28"/>
  <c r="J7" i="28"/>
  <c r="N6" i="28"/>
  <c r="J6" i="28"/>
  <c r="N5" i="28"/>
  <c r="J5" i="28"/>
  <c r="L4" i="28"/>
  <c r="O5" i="28"/>
  <c r="N4" i="28"/>
  <c r="J4" i="28"/>
  <c r="M7" i="28"/>
  <c r="I7" i="28"/>
  <c r="M6" i="28"/>
  <c r="I6" i="28"/>
  <c r="M5" i="28"/>
  <c r="I5" i="28"/>
  <c r="H5" i="28"/>
  <c r="L13" i="25"/>
  <c r="H24" i="23"/>
  <c r="H25" i="23"/>
  <c r="L25" i="23"/>
  <c r="L28" i="23"/>
  <c r="L24" i="23"/>
  <c r="E24" i="23"/>
  <c r="I24" i="23"/>
  <c r="F24" i="23"/>
  <c r="J24" i="23"/>
  <c r="E25" i="23"/>
  <c r="I25" i="23"/>
  <c r="I28" i="23"/>
  <c r="G24" i="23"/>
  <c r="F25" i="23"/>
  <c r="G331" i="22" l="1"/>
  <c r="G330" i="22"/>
  <c r="G329" i="22"/>
  <c r="G328" i="22"/>
  <c r="G327" i="22"/>
  <c r="G326" i="22"/>
  <c r="G325" i="22"/>
  <c r="G324" i="22"/>
  <c r="G323" i="22"/>
  <c r="G322" i="22"/>
  <c r="G321" i="22"/>
  <c r="G320" i="22"/>
  <c r="G319" i="22"/>
  <c r="G318" i="22"/>
  <c r="G317" i="22"/>
  <c r="G316" i="22"/>
  <c r="G315" i="22"/>
  <c r="G314" i="22"/>
  <c r="G313" i="22"/>
  <c r="G312" i="22"/>
  <c r="G311" i="22"/>
  <c r="G310" i="22"/>
  <c r="G309" i="22"/>
  <c r="G308" i="22"/>
  <c r="G307" i="22"/>
  <c r="G306" i="22"/>
  <c r="I305" i="22"/>
  <c r="G305" i="22"/>
  <c r="I304" i="22"/>
  <c r="G304" i="22"/>
  <c r="I303" i="22"/>
  <c r="G303" i="22"/>
  <c r="I302" i="22"/>
  <c r="G302" i="22"/>
  <c r="I301" i="22"/>
  <c r="G301" i="22"/>
  <c r="I300" i="22"/>
  <c r="G300" i="22"/>
  <c r="I299" i="22"/>
  <c r="G299" i="22"/>
  <c r="I298" i="22"/>
  <c r="G298" i="22"/>
  <c r="I297" i="22"/>
  <c r="G297" i="22"/>
  <c r="I296" i="22"/>
  <c r="G296" i="22"/>
  <c r="I295" i="22"/>
  <c r="G295" i="22"/>
  <c r="I294" i="22"/>
  <c r="G294" i="22"/>
  <c r="I293" i="22"/>
  <c r="G293" i="22"/>
  <c r="I292" i="22"/>
  <c r="G292" i="22"/>
  <c r="I291" i="22"/>
  <c r="G291" i="22"/>
  <c r="I290" i="22"/>
  <c r="G290" i="22"/>
  <c r="I289" i="22"/>
  <c r="G289" i="22"/>
  <c r="I288" i="22"/>
  <c r="G288" i="22"/>
  <c r="I287" i="22"/>
  <c r="G287" i="22"/>
  <c r="I286" i="22"/>
  <c r="G286" i="22"/>
  <c r="I285" i="22"/>
  <c r="G285" i="22"/>
  <c r="I284" i="22"/>
  <c r="G284" i="22"/>
  <c r="I283" i="22"/>
  <c r="G283" i="22"/>
  <c r="I282" i="22"/>
  <c r="G282" i="22"/>
  <c r="I281" i="22"/>
  <c r="G281" i="22"/>
  <c r="I280" i="22"/>
  <c r="M4" i="22" s="1"/>
  <c r="G280" i="22"/>
  <c r="I279" i="22"/>
  <c r="G279" i="22"/>
  <c r="I278" i="22"/>
  <c r="G278" i="22"/>
  <c r="I277" i="22"/>
  <c r="G277" i="22"/>
  <c r="I276" i="22"/>
  <c r="G276" i="22"/>
  <c r="I275" i="22"/>
  <c r="G275" i="22"/>
  <c r="I274" i="22"/>
  <c r="G274" i="22"/>
  <c r="I273" i="22"/>
  <c r="G273" i="22"/>
  <c r="I272" i="22"/>
  <c r="G272" i="22"/>
  <c r="I271" i="22"/>
  <c r="G271" i="22"/>
  <c r="I270" i="22"/>
  <c r="G270" i="22"/>
  <c r="I269" i="22"/>
  <c r="G269" i="22"/>
  <c r="I268" i="22"/>
  <c r="G268" i="22"/>
  <c r="I267" i="22"/>
  <c r="G267" i="22"/>
  <c r="I266" i="22"/>
  <c r="G266" i="22"/>
  <c r="I265" i="22"/>
  <c r="G265" i="22"/>
  <c r="I264" i="22"/>
  <c r="G264" i="22"/>
  <c r="I263" i="22"/>
  <c r="G263" i="22"/>
  <c r="I262" i="22"/>
  <c r="G262" i="22"/>
  <c r="I261" i="22"/>
  <c r="G261" i="22"/>
  <c r="I260" i="22"/>
  <c r="G260" i="22"/>
  <c r="I259" i="22"/>
  <c r="G259" i="22"/>
  <c r="I258" i="22"/>
  <c r="G258" i="22"/>
  <c r="I257" i="22"/>
  <c r="G257" i="22"/>
  <c r="I256" i="22"/>
  <c r="G256" i="22"/>
  <c r="I255" i="22"/>
  <c r="G255" i="22"/>
  <c r="I254" i="22"/>
  <c r="G254" i="22"/>
  <c r="I253" i="22"/>
  <c r="G253" i="22"/>
  <c r="I252" i="22"/>
  <c r="G252" i="22"/>
  <c r="I251" i="22"/>
  <c r="G251" i="22"/>
  <c r="I250" i="22"/>
  <c r="G250" i="22"/>
  <c r="I249" i="22"/>
  <c r="G249" i="22"/>
  <c r="I248" i="22"/>
  <c r="G248" i="22"/>
  <c r="I247" i="22"/>
  <c r="G247" i="22"/>
  <c r="I246" i="22"/>
  <c r="G246" i="22"/>
  <c r="I245" i="22"/>
  <c r="G245" i="22"/>
  <c r="I244" i="22"/>
  <c r="G244" i="22"/>
  <c r="I243" i="22"/>
  <c r="G243" i="22"/>
  <c r="I242" i="22"/>
  <c r="G242" i="22"/>
  <c r="I241" i="22"/>
  <c r="G241" i="22"/>
  <c r="I240" i="22"/>
  <c r="G240" i="22"/>
  <c r="I239" i="22"/>
  <c r="G239" i="22"/>
  <c r="I238" i="22"/>
  <c r="G238" i="22"/>
  <c r="I237" i="22"/>
  <c r="G237" i="22"/>
  <c r="I236" i="22"/>
  <c r="G236" i="22"/>
  <c r="I235" i="22"/>
  <c r="G235" i="22"/>
  <c r="I234" i="22"/>
  <c r="G234" i="22"/>
  <c r="I233" i="22"/>
  <c r="G233" i="22"/>
  <c r="I232" i="22"/>
  <c r="G232" i="22"/>
  <c r="I231" i="22"/>
  <c r="G231" i="22"/>
  <c r="I230" i="22"/>
  <c r="G230" i="22"/>
  <c r="I229" i="22"/>
  <c r="G229" i="22"/>
  <c r="I228" i="22"/>
  <c r="G228" i="22"/>
  <c r="I227" i="22"/>
  <c r="G227" i="22"/>
  <c r="I226" i="22"/>
  <c r="G226" i="22"/>
  <c r="I225" i="22"/>
  <c r="G225" i="22"/>
  <c r="I224" i="22"/>
  <c r="G224" i="22"/>
  <c r="I223" i="22"/>
  <c r="G223" i="22"/>
  <c r="I222" i="22"/>
  <c r="G222" i="22"/>
  <c r="I221" i="22"/>
  <c r="G221" i="22"/>
  <c r="I220" i="22"/>
  <c r="G220" i="22"/>
  <c r="I219" i="22"/>
  <c r="G219" i="22"/>
  <c r="I218" i="22"/>
  <c r="G218" i="22"/>
  <c r="I217" i="22"/>
  <c r="G217" i="22"/>
  <c r="I216" i="22"/>
  <c r="G216" i="22"/>
  <c r="I215" i="22"/>
  <c r="G215" i="22"/>
  <c r="I214" i="22"/>
  <c r="G214" i="22"/>
  <c r="I213" i="22"/>
  <c r="G213" i="22"/>
  <c r="I212" i="22"/>
  <c r="G212" i="22"/>
  <c r="I211" i="22"/>
  <c r="G211" i="22"/>
  <c r="I210" i="22"/>
  <c r="G210" i="22"/>
  <c r="I209" i="22"/>
  <c r="G209" i="22"/>
  <c r="I208" i="22"/>
  <c r="G208" i="22"/>
  <c r="I207" i="22"/>
  <c r="G207" i="22"/>
  <c r="I206" i="22"/>
  <c r="G206" i="22"/>
  <c r="I205" i="22"/>
  <c r="G205" i="22"/>
  <c r="I204" i="22"/>
  <c r="G204" i="22"/>
  <c r="I203" i="22"/>
  <c r="G203" i="22"/>
  <c r="I202" i="22"/>
  <c r="G202" i="22"/>
  <c r="I201" i="22"/>
  <c r="G201" i="22"/>
  <c r="I200" i="22"/>
  <c r="G200" i="22"/>
  <c r="I199" i="22"/>
  <c r="G199" i="22"/>
  <c r="I198" i="22"/>
  <c r="G198" i="22"/>
  <c r="I197" i="22"/>
  <c r="G197" i="22"/>
  <c r="I196" i="22"/>
  <c r="G196" i="22"/>
  <c r="I195" i="22"/>
  <c r="G195" i="22"/>
  <c r="I194" i="22"/>
  <c r="G194" i="22"/>
  <c r="I193" i="22"/>
  <c r="G193" i="22"/>
  <c r="I192" i="22"/>
  <c r="G192" i="22"/>
  <c r="I191" i="22"/>
  <c r="G191" i="22"/>
  <c r="I190" i="22"/>
  <c r="G190" i="22"/>
  <c r="I189" i="22"/>
  <c r="G189" i="22"/>
  <c r="I188" i="22"/>
  <c r="G188" i="22"/>
  <c r="I187" i="22"/>
  <c r="G187" i="22"/>
  <c r="I186" i="22"/>
  <c r="G186" i="22"/>
  <c r="I185" i="22"/>
  <c r="G185" i="22"/>
  <c r="I184" i="22"/>
  <c r="G184" i="22"/>
  <c r="I183" i="22"/>
  <c r="G183" i="22"/>
  <c r="I182" i="22"/>
  <c r="G182" i="22"/>
  <c r="I181" i="22"/>
  <c r="G181" i="22"/>
  <c r="I180" i="22"/>
  <c r="G180" i="22"/>
  <c r="I179" i="22"/>
  <c r="G179" i="22"/>
  <c r="I178" i="22"/>
  <c r="G178" i="22"/>
  <c r="I177" i="22"/>
  <c r="G177" i="22"/>
  <c r="I176" i="22"/>
  <c r="G176" i="22"/>
  <c r="I175" i="22"/>
  <c r="G175" i="22"/>
  <c r="I174" i="22"/>
  <c r="G174" i="22"/>
  <c r="I173" i="22"/>
  <c r="G173" i="22"/>
  <c r="I172" i="22"/>
  <c r="G172" i="22"/>
  <c r="I171" i="22"/>
  <c r="G171" i="22"/>
  <c r="I170" i="22"/>
  <c r="G170" i="22"/>
  <c r="I169" i="22"/>
  <c r="G169" i="22"/>
  <c r="I168" i="22"/>
  <c r="G168" i="22"/>
  <c r="I167" i="22"/>
  <c r="G167" i="22"/>
  <c r="I166" i="22"/>
  <c r="G166" i="22"/>
  <c r="I165" i="22"/>
  <c r="G165" i="22"/>
  <c r="I164" i="22"/>
  <c r="G164" i="22"/>
  <c r="I163" i="22"/>
  <c r="G163" i="22"/>
  <c r="I162" i="22"/>
  <c r="G162" i="22"/>
  <c r="I161" i="22"/>
  <c r="G161" i="22"/>
  <c r="I160" i="22"/>
  <c r="G160" i="22"/>
  <c r="I159" i="22"/>
  <c r="G159" i="22"/>
  <c r="I158" i="22"/>
  <c r="G158" i="22"/>
  <c r="I157" i="22"/>
  <c r="G157" i="22"/>
  <c r="I156" i="22"/>
  <c r="G156" i="22"/>
  <c r="I155" i="22"/>
  <c r="G155" i="22"/>
  <c r="I154" i="22"/>
  <c r="G154" i="22"/>
  <c r="I153" i="22"/>
  <c r="G153" i="22"/>
  <c r="I152" i="22"/>
  <c r="G152" i="22"/>
  <c r="I151" i="22"/>
  <c r="G151" i="22"/>
  <c r="I150" i="22"/>
  <c r="G150" i="22"/>
  <c r="I149" i="22"/>
  <c r="G149" i="22"/>
  <c r="I148" i="22"/>
  <c r="G148" i="22"/>
  <c r="I147" i="22"/>
  <c r="G147" i="22"/>
  <c r="I146" i="22"/>
  <c r="G146" i="22"/>
  <c r="I145" i="22"/>
  <c r="G145" i="22"/>
  <c r="I144" i="22"/>
  <c r="G144" i="22"/>
  <c r="I143" i="22"/>
  <c r="G143" i="22"/>
  <c r="I142" i="22"/>
  <c r="G142" i="22"/>
  <c r="I141" i="22"/>
  <c r="G141" i="22"/>
  <c r="I140" i="22"/>
  <c r="G140" i="22"/>
  <c r="I139" i="22"/>
  <c r="G139" i="22"/>
  <c r="I138" i="22"/>
  <c r="G138" i="22"/>
  <c r="I137" i="22"/>
  <c r="G137" i="22"/>
  <c r="I136" i="22"/>
  <c r="G136" i="22"/>
  <c r="I135" i="22"/>
  <c r="G135" i="22"/>
  <c r="I134" i="22"/>
  <c r="G134" i="22"/>
  <c r="I133" i="22"/>
  <c r="G133" i="22"/>
  <c r="I132" i="22"/>
  <c r="G132" i="22"/>
  <c r="I131" i="22"/>
  <c r="G131" i="22"/>
  <c r="I130" i="22"/>
  <c r="G130" i="22"/>
  <c r="I129" i="22"/>
  <c r="G129" i="22"/>
  <c r="I128" i="22"/>
  <c r="G128" i="22"/>
  <c r="I127" i="22"/>
  <c r="G127" i="22"/>
  <c r="I126" i="22"/>
  <c r="G126" i="22"/>
  <c r="I125" i="22"/>
  <c r="G125" i="22"/>
  <c r="I124" i="22"/>
  <c r="G124" i="22"/>
  <c r="I123" i="22"/>
  <c r="G123" i="22"/>
  <c r="I122" i="22"/>
  <c r="G122" i="22"/>
  <c r="I121" i="22"/>
  <c r="G121" i="22"/>
  <c r="I120" i="22"/>
  <c r="G120" i="22"/>
  <c r="I119" i="22"/>
  <c r="G119" i="22"/>
  <c r="I118" i="22"/>
  <c r="G118" i="22"/>
  <c r="I117" i="22"/>
  <c r="G117" i="22"/>
  <c r="I116" i="22"/>
  <c r="G116" i="22"/>
  <c r="I115" i="22"/>
  <c r="G115" i="22"/>
  <c r="I114" i="22"/>
  <c r="G114" i="22"/>
  <c r="I113" i="22"/>
  <c r="G113" i="22"/>
  <c r="I112" i="22"/>
  <c r="G112" i="22"/>
  <c r="I111" i="22"/>
  <c r="G111" i="22"/>
  <c r="I110" i="22"/>
  <c r="G110" i="22"/>
  <c r="I109" i="22"/>
  <c r="G109" i="22"/>
  <c r="I108" i="22"/>
  <c r="G108" i="22"/>
  <c r="I107" i="22"/>
  <c r="G107" i="22"/>
  <c r="I106" i="22"/>
  <c r="G106" i="22"/>
  <c r="I105" i="22"/>
  <c r="G105" i="22"/>
  <c r="I104" i="22"/>
  <c r="G104" i="22"/>
  <c r="I103" i="22"/>
  <c r="G103" i="22"/>
  <c r="I102" i="22"/>
  <c r="G102" i="22"/>
  <c r="I101" i="22"/>
  <c r="G101" i="22"/>
  <c r="I100" i="22"/>
  <c r="G100" i="22"/>
  <c r="I99" i="22"/>
  <c r="G99" i="22"/>
  <c r="I98" i="22"/>
  <c r="G98" i="22"/>
  <c r="I97" i="22"/>
  <c r="G97" i="22"/>
  <c r="I96" i="22"/>
  <c r="G96" i="22"/>
  <c r="I95" i="22"/>
  <c r="G95" i="22"/>
  <c r="I94" i="22"/>
  <c r="G94" i="22"/>
  <c r="I93" i="22"/>
  <c r="G93" i="22"/>
  <c r="I92" i="22"/>
  <c r="G92" i="22"/>
  <c r="I91" i="22"/>
  <c r="G91" i="22"/>
  <c r="I90" i="22"/>
  <c r="G90" i="22"/>
  <c r="I89" i="22"/>
  <c r="G89" i="22"/>
  <c r="I88" i="22"/>
  <c r="G88" i="22"/>
  <c r="I87" i="22"/>
  <c r="G87" i="22"/>
  <c r="I86" i="22"/>
  <c r="G86" i="22"/>
  <c r="I85" i="22"/>
  <c r="G85" i="22"/>
  <c r="I84" i="22"/>
  <c r="G84" i="22"/>
  <c r="I83" i="22"/>
  <c r="G83" i="22"/>
  <c r="I82" i="22"/>
  <c r="G82" i="22"/>
  <c r="I81" i="22"/>
  <c r="G81" i="22"/>
  <c r="I80" i="22"/>
  <c r="G80" i="22"/>
  <c r="I79" i="22"/>
  <c r="G79" i="22"/>
  <c r="I78" i="22"/>
  <c r="G78" i="22"/>
  <c r="I77" i="22"/>
  <c r="G77" i="22"/>
  <c r="I76" i="22"/>
  <c r="G76" i="22"/>
  <c r="I75" i="22"/>
  <c r="G75" i="22"/>
  <c r="I74" i="22"/>
  <c r="G74" i="22"/>
  <c r="I73" i="22"/>
  <c r="G73" i="22"/>
  <c r="I72" i="22"/>
  <c r="G72" i="22"/>
  <c r="I71" i="22"/>
  <c r="G71" i="22"/>
  <c r="I70" i="22"/>
  <c r="G70" i="22"/>
  <c r="I69" i="22"/>
  <c r="G69" i="22"/>
  <c r="I68" i="22"/>
  <c r="G68" i="22"/>
  <c r="I67" i="22"/>
  <c r="G67" i="22"/>
  <c r="I66" i="22"/>
  <c r="G66" i="22"/>
  <c r="I65" i="22"/>
  <c r="G65" i="22"/>
  <c r="I64" i="22"/>
  <c r="G64" i="22"/>
  <c r="I63" i="22"/>
  <c r="G63" i="22"/>
  <c r="I62" i="22"/>
  <c r="G62" i="22"/>
  <c r="I61" i="22"/>
  <c r="G61" i="22"/>
  <c r="I60" i="22"/>
  <c r="G60" i="22"/>
  <c r="I59" i="22"/>
  <c r="G59" i="22"/>
  <c r="I58" i="22"/>
  <c r="G58" i="22"/>
  <c r="I57" i="22"/>
  <c r="G57" i="22"/>
  <c r="I56" i="22"/>
  <c r="G56" i="22"/>
  <c r="I55" i="22"/>
  <c r="G55" i="22"/>
  <c r="I54" i="22"/>
  <c r="G54" i="22"/>
  <c r="I53" i="22"/>
  <c r="G53" i="22"/>
  <c r="I52" i="22"/>
  <c r="G52" i="22"/>
  <c r="I51" i="22"/>
  <c r="G51" i="22"/>
  <c r="I50" i="22"/>
  <c r="G50" i="22"/>
  <c r="I49" i="22"/>
  <c r="G49" i="22"/>
  <c r="I48" i="22"/>
  <c r="G48" i="22"/>
  <c r="I47" i="22"/>
  <c r="G47" i="22"/>
  <c r="I46" i="22"/>
  <c r="G46" i="22"/>
  <c r="I45" i="22"/>
  <c r="G45" i="22"/>
  <c r="I44" i="22"/>
  <c r="G44" i="22"/>
  <c r="I43" i="22"/>
  <c r="G43" i="22"/>
  <c r="I42" i="22"/>
  <c r="G42" i="22"/>
  <c r="I41" i="22"/>
  <c r="G41" i="22"/>
  <c r="I40" i="22"/>
  <c r="G40" i="22"/>
  <c r="I39" i="22"/>
  <c r="G39" i="22"/>
  <c r="I38" i="22"/>
  <c r="G38" i="22"/>
  <c r="I37" i="22"/>
  <c r="G37" i="22"/>
  <c r="I36" i="22"/>
  <c r="G36" i="22"/>
  <c r="I35" i="22"/>
  <c r="G35" i="22"/>
  <c r="I34" i="22"/>
  <c r="G34" i="22"/>
  <c r="I33" i="22"/>
  <c r="G33" i="22"/>
  <c r="I32" i="22"/>
  <c r="G32" i="22"/>
  <c r="I31" i="22"/>
  <c r="G31" i="22"/>
  <c r="I30" i="22"/>
  <c r="G30" i="22"/>
  <c r="I29" i="22"/>
  <c r="G29" i="22"/>
  <c r="I28" i="22"/>
  <c r="G28" i="22"/>
  <c r="I27" i="22"/>
  <c r="G27" i="22"/>
  <c r="I26" i="22"/>
  <c r="G26" i="22"/>
  <c r="I25" i="22"/>
  <c r="G25" i="22"/>
  <c r="I24" i="22"/>
  <c r="G24" i="22"/>
  <c r="I23" i="22"/>
  <c r="G23" i="22"/>
  <c r="I22" i="22"/>
  <c r="G22" i="22"/>
  <c r="I21" i="22"/>
  <c r="G21" i="22"/>
  <c r="I20" i="22"/>
  <c r="G20" i="22"/>
  <c r="I19" i="22"/>
  <c r="G19" i="22"/>
  <c r="I18" i="22"/>
  <c r="G18" i="22"/>
  <c r="G54" i="21"/>
  <c r="F54" i="21"/>
  <c r="G53" i="21"/>
  <c r="F53" i="21"/>
  <c r="G52" i="21"/>
  <c r="F52" i="21"/>
  <c r="G51" i="21"/>
  <c r="F51" i="21"/>
  <c r="G50" i="21"/>
  <c r="F50" i="21"/>
  <c r="G49" i="21"/>
  <c r="F49" i="21"/>
  <c r="G48" i="21"/>
  <c r="F48" i="21"/>
  <c r="G47" i="21"/>
  <c r="F47" i="21"/>
  <c r="G46" i="21"/>
  <c r="F46" i="21"/>
  <c r="G45" i="21"/>
  <c r="F45" i="21"/>
  <c r="G44" i="21"/>
  <c r="F44" i="21"/>
  <c r="G43" i="21"/>
  <c r="F43" i="21"/>
  <c r="G42" i="21"/>
  <c r="F42" i="21"/>
  <c r="G41" i="21"/>
  <c r="F41" i="21"/>
  <c r="G40" i="21"/>
  <c r="F40" i="21"/>
  <c r="G39" i="21"/>
  <c r="F39" i="21"/>
  <c r="G38" i="21"/>
  <c r="F38" i="21"/>
  <c r="G37" i="21"/>
  <c r="F37" i="21"/>
  <c r="G36" i="21"/>
  <c r="F36" i="21"/>
  <c r="G35" i="21"/>
  <c r="F35" i="21"/>
  <c r="G34" i="21"/>
  <c r="F34" i="21"/>
  <c r="G33" i="21"/>
  <c r="F33" i="21"/>
  <c r="G32" i="21"/>
  <c r="F32" i="21"/>
  <c r="G31" i="21"/>
  <c r="F31" i="21"/>
  <c r="G30" i="21"/>
  <c r="F30" i="21"/>
  <c r="G29" i="21"/>
  <c r="F29" i="21"/>
  <c r="G28" i="21"/>
  <c r="F28" i="21"/>
  <c r="G27" i="21"/>
  <c r="F27" i="21"/>
  <c r="G26" i="21"/>
  <c r="F26" i="21"/>
  <c r="G25" i="21"/>
  <c r="F25" i="21"/>
  <c r="B9" i="20"/>
  <c r="B5" i="20"/>
  <c r="A20" i="20"/>
  <c r="A21" i="20" s="1"/>
  <c r="A22" i="20" s="1"/>
  <c r="B5" i="3"/>
  <c r="M5" i="22" l="1"/>
  <c r="M6" i="22"/>
  <c r="M3" i="22"/>
  <c r="N3" i="22"/>
  <c r="Q3" i="22" a="1"/>
  <c r="Q3" i="22" s="1"/>
  <c r="N6" i="22"/>
  <c r="Q6" i="22" a="1"/>
  <c r="Q6" i="22" s="1"/>
  <c r="P5" i="22" a="1"/>
  <c r="P5" i="22" s="1"/>
  <c r="O5" i="22" a="1"/>
  <c r="O5" i="22" s="1"/>
  <c r="P6" i="22" a="1"/>
  <c r="P6" i="22" s="1"/>
  <c r="O6" i="22" a="1"/>
  <c r="O6" i="22" s="1"/>
  <c r="N4" i="22"/>
  <c r="Q4" i="22" a="1"/>
  <c r="Q4" i="22" s="1"/>
  <c r="L3" i="22"/>
  <c r="O3" i="22" a="1"/>
  <c r="O3" i="22" s="1"/>
  <c r="P3" i="22" a="1"/>
  <c r="P3" i="22" s="1"/>
  <c r="N5" i="22"/>
  <c r="Q5" i="22" a="1"/>
  <c r="Q5" i="22" s="1"/>
  <c r="O4" i="22" a="1"/>
  <c r="O4" i="22" s="1"/>
  <c r="P4" i="22" a="1"/>
  <c r="P4" i="22" s="1"/>
  <c r="L6" i="22"/>
  <c r="L5" i="22"/>
  <c r="L4" i="22"/>
  <c r="C20" i="20"/>
  <c r="D21" i="20" s="1"/>
  <c r="B8" i="20"/>
  <c r="B6" i="20"/>
  <c r="B10" i="20"/>
  <c r="B11" i="20" s="1"/>
  <c r="B13" i="20" s="1"/>
  <c r="A23" i="20"/>
  <c r="B12" i="20" l="1"/>
  <c r="B14" i="20"/>
  <c r="A24" i="20"/>
  <c r="B15" i="20" l="1"/>
  <c r="B21" i="20" s="1"/>
  <c r="C21" i="20" s="1"/>
  <c r="D22" i="20" s="1"/>
  <c r="A25" i="20"/>
  <c r="B10" i="3"/>
  <c r="B6" i="3"/>
  <c r="B8" i="3"/>
  <c r="C20" i="3"/>
  <c r="D21" i="3" s="1"/>
  <c r="B9" i="3"/>
  <c r="B22" i="20" l="1"/>
  <c r="B23" i="20" s="1"/>
  <c r="A26" i="20"/>
  <c r="B11" i="3"/>
  <c r="C22" i="20" l="1"/>
  <c r="D23" i="20" s="1"/>
  <c r="A27" i="20"/>
  <c r="C23" i="20"/>
  <c r="B24" i="20"/>
  <c r="B12" i="3"/>
  <c r="B13" i="3"/>
  <c r="B14" i="3"/>
  <c r="A20" i="3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A629" i="3" s="1"/>
  <c r="A630" i="3" s="1"/>
  <c r="A631" i="3" s="1"/>
  <c r="A632" i="3" s="1"/>
  <c r="A633" i="3" s="1"/>
  <c r="A634" i="3" s="1"/>
  <c r="A635" i="3" s="1"/>
  <c r="A636" i="3" s="1"/>
  <c r="A637" i="3" s="1"/>
  <c r="A638" i="3" s="1"/>
  <c r="A639" i="3" s="1"/>
  <c r="A640" i="3" s="1"/>
  <c r="A641" i="3" s="1"/>
  <c r="A642" i="3" s="1"/>
  <c r="A643" i="3" s="1"/>
  <c r="A644" i="3" s="1"/>
  <c r="A645" i="3" s="1"/>
  <c r="A646" i="3" s="1"/>
  <c r="A647" i="3" s="1"/>
  <c r="A648" i="3" s="1"/>
  <c r="A649" i="3" s="1"/>
  <c r="A650" i="3" s="1"/>
  <c r="A651" i="3" s="1"/>
  <c r="A652" i="3" s="1"/>
  <c r="A653" i="3" s="1"/>
  <c r="A654" i="3" s="1"/>
  <c r="A655" i="3" s="1"/>
  <c r="A656" i="3" s="1"/>
  <c r="A657" i="3" s="1"/>
  <c r="A658" i="3" s="1"/>
  <c r="A659" i="3" s="1"/>
  <c r="A660" i="3" s="1"/>
  <c r="A661" i="3" s="1"/>
  <c r="A662" i="3" s="1"/>
  <c r="A663" i="3" s="1"/>
  <c r="A664" i="3" s="1"/>
  <c r="A665" i="3" s="1"/>
  <c r="A666" i="3" s="1"/>
  <c r="A667" i="3" s="1"/>
  <c r="A668" i="3" s="1"/>
  <c r="A669" i="3" s="1"/>
  <c r="A670" i="3" s="1"/>
  <c r="A671" i="3" s="1"/>
  <c r="A672" i="3" s="1"/>
  <c r="A673" i="3" s="1"/>
  <c r="A674" i="3" s="1"/>
  <c r="A675" i="3" s="1"/>
  <c r="A676" i="3" s="1"/>
  <c r="A677" i="3" s="1"/>
  <c r="A678" i="3" s="1"/>
  <c r="A679" i="3" s="1"/>
  <c r="A680" i="3" s="1"/>
  <c r="A681" i="3" s="1"/>
  <c r="A682" i="3" s="1"/>
  <c r="A683" i="3" s="1"/>
  <c r="A684" i="3" s="1"/>
  <c r="A685" i="3" s="1"/>
  <c r="A686" i="3" s="1"/>
  <c r="A687" i="3" s="1"/>
  <c r="A688" i="3" s="1"/>
  <c r="A689" i="3" s="1"/>
  <c r="A690" i="3" s="1"/>
  <c r="A691" i="3" s="1"/>
  <c r="A692" i="3" s="1"/>
  <c r="A693" i="3" s="1"/>
  <c r="A694" i="3" s="1"/>
  <c r="A695" i="3" s="1"/>
  <c r="A696" i="3" s="1"/>
  <c r="A697" i="3" s="1"/>
  <c r="A698" i="3" s="1"/>
  <c r="A699" i="3" s="1"/>
  <c r="A700" i="3" s="1"/>
  <c r="A701" i="3" s="1"/>
  <c r="A702" i="3" s="1"/>
  <c r="A703" i="3" s="1"/>
  <c r="A704" i="3" s="1"/>
  <c r="A705" i="3" s="1"/>
  <c r="A706" i="3" s="1"/>
  <c r="A707" i="3" s="1"/>
  <c r="A708" i="3" s="1"/>
  <c r="A709" i="3" s="1"/>
  <c r="A710" i="3" s="1"/>
  <c r="A711" i="3" s="1"/>
  <c r="A712" i="3" s="1"/>
  <c r="A713" i="3" s="1"/>
  <c r="A714" i="3" s="1"/>
  <c r="A715" i="3" s="1"/>
  <c r="A716" i="3" s="1"/>
  <c r="A717" i="3" s="1"/>
  <c r="A718" i="3" s="1"/>
  <c r="A719" i="3" s="1"/>
  <c r="A720" i="3" s="1"/>
  <c r="A721" i="3" s="1"/>
  <c r="A722" i="3" s="1"/>
  <c r="A723" i="3" s="1"/>
  <c r="A724" i="3" s="1"/>
  <c r="A725" i="3" s="1"/>
  <c r="A726" i="3" s="1"/>
  <c r="A727" i="3" s="1"/>
  <c r="A728" i="3" s="1"/>
  <c r="A729" i="3" s="1"/>
  <c r="A730" i="3" s="1"/>
  <c r="A731" i="3" s="1"/>
  <c r="D24" i="20" l="1"/>
  <c r="C24" i="20"/>
  <c r="B25" i="20"/>
  <c r="A28" i="20"/>
  <c r="B21" i="3"/>
  <c r="C21" i="3" s="1"/>
  <c r="D22" i="3" s="1"/>
  <c r="B15" i="3"/>
  <c r="D25" i="20" l="1"/>
  <c r="A29" i="20"/>
  <c r="C25" i="20"/>
  <c r="B26" i="20"/>
  <c r="B22" i="3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B387" i="3" s="1"/>
  <c r="B388" i="3" s="1"/>
  <c r="B389" i="3" s="1"/>
  <c r="B390" i="3" s="1"/>
  <c r="B391" i="3" s="1"/>
  <c r="B392" i="3" s="1"/>
  <c r="B393" i="3" s="1"/>
  <c r="B394" i="3" s="1"/>
  <c r="B395" i="3" s="1"/>
  <c r="B396" i="3" s="1"/>
  <c r="B397" i="3" s="1"/>
  <c r="B398" i="3" s="1"/>
  <c r="B399" i="3" s="1"/>
  <c r="B400" i="3" s="1"/>
  <c r="B401" i="3" s="1"/>
  <c r="B402" i="3" s="1"/>
  <c r="B403" i="3" s="1"/>
  <c r="B404" i="3" s="1"/>
  <c r="B405" i="3" s="1"/>
  <c r="B406" i="3" s="1"/>
  <c r="B407" i="3" s="1"/>
  <c r="B408" i="3" s="1"/>
  <c r="B409" i="3" s="1"/>
  <c r="B410" i="3" s="1"/>
  <c r="B411" i="3" s="1"/>
  <c r="B412" i="3" s="1"/>
  <c r="B413" i="3" s="1"/>
  <c r="B414" i="3" s="1"/>
  <c r="B415" i="3" s="1"/>
  <c r="B416" i="3" s="1"/>
  <c r="B417" i="3" s="1"/>
  <c r="B418" i="3" s="1"/>
  <c r="B419" i="3" s="1"/>
  <c r="B420" i="3" s="1"/>
  <c r="B421" i="3" s="1"/>
  <c r="B422" i="3" s="1"/>
  <c r="B423" i="3" s="1"/>
  <c r="B424" i="3" s="1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440" i="3" s="1"/>
  <c r="B441" i="3" s="1"/>
  <c r="B442" i="3" s="1"/>
  <c r="B443" i="3" s="1"/>
  <c r="B444" i="3" s="1"/>
  <c r="B445" i="3" s="1"/>
  <c r="B446" i="3" s="1"/>
  <c r="B447" i="3" s="1"/>
  <c r="B448" i="3" s="1"/>
  <c r="B449" i="3" s="1"/>
  <c r="B450" i="3" s="1"/>
  <c r="B451" i="3" s="1"/>
  <c r="B452" i="3" s="1"/>
  <c r="B453" i="3" s="1"/>
  <c r="B454" i="3" s="1"/>
  <c r="B455" i="3" s="1"/>
  <c r="B456" i="3" s="1"/>
  <c r="B457" i="3" s="1"/>
  <c r="B458" i="3" s="1"/>
  <c r="B459" i="3" s="1"/>
  <c r="B460" i="3" s="1"/>
  <c r="B461" i="3" s="1"/>
  <c r="B462" i="3" s="1"/>
  <c r="B463" i="3" s="1"/>
  <c r="B464" i="3" s="1"/>
  <c r="B465" i="3" s="1"/>
  <c r="B466" i="3" s="1"/>
  <c r="B467" i="3" s="1"/>
  <c r="B468" i="3" s="1"/>
  <c r="B469" i="3" s="1"/>
  <c r="B470" i="3" s="1"/>
  <c r="B471" i="3" s="1"/>
  <c r="B472" i="3" s="1"/>
  <c r="B473" i="3" s="1"/>
  <c r="B474" i="3" s="1"/>
  <c r="B475" i="3" s="1"/>
  <c r="B476" i="3" s="1"/>
  <c r="B477" i="3" s="1"/>
  <c r="B478" i="3" s="1"/>
  <c r="B479" i="3" s="1"/>
  <c r="B480" i="3" s="1"/>
  <c r="B481" i="3" s="1"/>
  <c r="B482" i="3" s="1"/>
  <c r="B483" i="3" s="1"/>
  <c r="B484" i="3" s="1"/>
  <c r="B485" i="3" s="1"/>
  <c r="B486" i="3" s="1"/>
  <c r="B487" i="3" s="1"/>
  <c r="B488" i="3" s="1"/>
  <c r="B489" i="3" s="1"/>
  <c r="B490" i="3" s="1"/>
  <c r="B491" i="3" s="1"/>
  <c r="B492" i="3" s="1"/>
  <c r="B493" i="3" s="1"/>
  <c r="B494" i="3" s="1"/>
  <c r="B495" i="3" s="1"/>
  <c r="B496" i="3" s="1"/>
  <c r="B497" i="3" s="1"/>
  <c r="B498" i="3" s="1"/>
  <c r="B499" i="3" s="1"/>
  <c r="B500" i="3" s="1"/>
  <c r="B501" i="3" s="1"/>
  <c r="B502" i="3" s="1"/>
  <c r="B503" i="3" s="1"/>
  <c r="B504" i="3" s="1"/>
  <c r="B505" i="3" s="1"/>
  <c r="B506" i="3" s="1"/>
  <c r="B507" i="3" s="1"/>
  <c r="B508" i="3" s="1"/>
  <c r="B509" i="3" s="1"/>
  <c r="B510" i="3" s="1"/>
  <c r="B511" i="3" s="1"/>
  <c r="B512" i="3" s="1"/>
  <c r="B513" i="3" s="1"/>
  <c r="B514" i="3" s="1"/>
  <c r="B515" i="3" s="1"/>
  <c r="B516" i="3" s="1"/>
  <c r="B517" i="3" s="1"/>
  <c r="B518" i="3" s="1"/>
  <c r="B519" i="3" s="1"/>
  <c r="B520" i="3" s="1"/>
  <c r="B521" i="3" s="1"/>
  <c r="B522" i="3" s="1"/>
  <c r="B523" i="3" s="1"/>
  <c r="B524" i="3" s="1"/>
  <c r="B525" i="3" s="1"/>
  <c r="B526" i="3" s="1"/>
  <c r="B527" i="3" s="1"/>
  <c r="B528" i="3" s="1"/>
  <c r="B529" i="3" s="1"/>
  <c r="B530" i="3" s="1"/>
  <c r="B531" i="3" s="1"/>
  <c r="B532" i="3" s="1"/>
  <c r="B533" i="3" s="1"/>
  <c r="B534" i="3" s="1"/>
  <c r="B535" i="3" s="1"/>
  <c r="B536" i="3" s="1"/>
  <c r="B537" i="3" s="1"/>
  <c r="B538" i="3" s="1"/>
  <c r="B539" i="3" s="1"/>
  <c r="B540" i="3" s="1"/>
  <c r="B541" i="3" s="1"/>
  <c r="B542" i="3" s="1"/>
  <c r="B543" i="3" s="1"/>
  <c r="B544" i="3" s="1"/>
  <c r="B545" i="3" s="1"/>
  <c r="B546" i="3" s="1"/>
  <c r="B547" i="3" s="1"/>
  <c r="B548" i="3" s="1"/>
  <c r="B549" i="3" s="1"/>
  <c r="B550" i="3" s="1"/>
  <c r="B551" i="3" s="1"/>
  <c r="B552" i="3" s="1"/>
  <c r="B553" i="3" s="1"/>
  <c r="B554" i="3" s="1"/>
  <c r="B555" i="3" s="1"/>
  <c r="B556" i="3" s="1"/>
  <c r="B557" i="3" s="1"/>
  <c r="B558" i="3" s="1"/>
  <c r="B559" i="3" s="1"/>
  <c r="B560" i="3" s="1"/>
  <c r="B561" i="3" s="1"/>
  <c r="B562" i="3" s="1"/>
  <c r="B563" i="3" s="1"/>
  <c r="B564" i="3" s="1"/>
  <c r="B565" i="3" s="1"/>
  <c r="B566" i="3" s="1"/>
  <c r="B567" i="3" s="1"/>
  <c r="B568" i="3" s="1"/>
  <c r="B569" i="3" s="1"/>
  <c r="B570" i="3" s="1"/>
  <c r="B571" i="3" s="1"/>
  <c r="B572" i="3" s="1"/>
  <c r="B573" i="3" s="1"/>
  <c r="B574" i="3" s="1"/>
  <c r="B575" i="3" s="1"/>
  <c r="B576" i="3" s="1"/>
  <c r="B577" i="3" s="1"/>
  <c r="B578" i="3" s="1"/>
  <c r="B579" i="3" s="1"/>
  <c r="B580" i="3" s="1"/>
  <c r="B581" i="3" s="1"/>
  <c r="B582" i="3" s="1"/>
  <c r="B583" i="3" s="1"/>
  <c r="B584" i="3" s="1"/>
  <c r="B585" i="3" s="1"/>
  <c r="B586" i="3" s="1"/>
  <c r="B587" i="3" s="1"/>
  <c r="B588" i="3" s="1"/>
  <c r="B589" i="3" s="1"/>
  <c r="B590" i="3" s="1"/>
  <c r="B591" i="3" s="1"/>
  <c r="B592" i="3" s="1"/>
  <c r="B593" i="3" s="1"/>
  <c r="B594" i="3" s="1"/>
  <c r="B595" i="3" s="1"/>
  <c r="B596" i="3" s="1"/>
  <c r="B597" i="3" s="1"/>
  <c r="B598" i="3" s="1"/>
  <c r="B599" i="3" s="1"/>
  <c r="B600" i="3" s="1"/>
  <c r="B601" i="3" s="1"/>
  <c r="B602" i="3" s="1"/>
  <c r="B603" i="3" s="1"/>
  <c r="B604" i="3" s="1"/>
  <c r="B605" i="3" s="1"/>
  <c r="B606" i="3" s="1"/>
  <c r="B607" i="3" s="1"/>
  <c r="B608" i="3" s="1"/>
  <c r="B609" i="3" s="1"/>
  <c r="B610" i="3" s="1"/>
  <c r="B611" i="3" s="1"/>
  <c r="B612" i="3" s="1"/>
  <c r="B613" i="3" s="1"/>
  <c r="B614" i="3" s="1"/>
  <c r="B615" i="3" s="1"/>
  <c r="B616" i="3" s="1"/>
  <c r="B617" i="3" s="1"/>
  <c r="B618" i="3" s="1"/>
  <c r="B619" i="3" s="1"/>
  <c r="B620" i="3" s="1"/>
  <c r="B621" i="3" s="1"/>
  <c r="B622" i="3" s="1"/>
  <c r="B623" i="3" s="1"/>
  <c r="B624" i="3" s="1"/>
  <c r="B625" i="3" s="1"/>
  <c r="B626" i="3" s="1"/>
  <c r="B627" i="3" s="1"/>
  <c r="B628" i="3" s="1"/>
  <c r="B629" i="3" s="1"/>
  <c r="B630" i="3" s="1"/>
  <c r="B631" i="3" s="1"/>
  <c r="B632" i="3" s="1"/>
  <c r="B633" i="3" s="1"/>
  <c r="B634" i="3" s="1"/>
  <c r="B635" i="3" s="1"/>
  <c r="B636" i="3" s="1"/>
  <c r="B637" i="3" s="1"/>
  <c r="B638" i="3" s="1"/>
  <c r="B639" i="3" s="1"/>
  <c r="B640" i="3" s="1"/>
  <c r="B641" i="3" s="1"/>
  <c r="B642" i="3" s="1"/>
  <c r="B643" i="3" s="1"/>
  <c r="B644" i="3" s="1"/>
  <c r="B645" i="3" s="1"/>
  <c r="B646" i="3" s="1"/>
  <c r="B647" i="3" s="1"/>
  <c r="B648" i="3" s="1"/>
  <c r="B649" i="3" s="1"/>
  <c r="B650" i="3" s="1"/>
  <c r="B651" i="3" s="1"/>
  <c r="B652" i="3" s="1"/>
  <c r="B653" i="3" s="1"/>
  <c r="B654" i="3" s="1"/>
  <c r="B655" i="3" s="1"/>
  <c r="B656" i="3" s="1"/>
  <c r="B657" i="3" s="1"/>
  <c r="B658" i="3" s="1"/>
  <c r="B659" i="3" s="1"/>
  <c r="B660" i="3" s="1"/>
  <c r="B661" i="3" s="1"/>
  <c r="B662" i="3" s="1"/>
  <c r="B663" i="3" s="1"/>
  <c r="B664" i="3" s="1"/>
  <c r="B665" i="3" s="1"/>
  <c r="B666" i="3" s="1"/>
  <c r="B667" i="3" s="1"/>
  <c r="B668" i="3" s="1"/>
  <c r="B669" i="3" s="1"/>
  <c r="B670" i="3" s="1"/>
  <c r="B671" i="3" s="1"/>
  <c r="B672" i="3" s="1"/>
  <c r="B673" i="3" s="1"/>
  <c r="B674" i="3" s="1"/>
  <c r="B675" i="3" s="1"/>
  <c r="B676" i="3" s="1"/>
  <c r="B677" i="3" s="1"/>
  <c r="B678" i="3" s="1"/>
  <c r="B679" i="3" s="1"/>
  <c r="B680" i="3" s="1"/>
  <c r="B681" i="3" s="1"/>
  <c r="B682" i="3" s="1"/>
  <c r="B683" i="3" s="1"/>
  <c r="B684" i="3" s="1"/>
  <c r="B685" i="3" s="1"/>
  <c r="B686" i="3" s="1"/>
  <c r="B687" i="3" s="1"/>
  <c r="B688" i="3" s="1"/>
  <c r="B689" i="3" s="1"/>
  <c r="B690" i="3" s="1"/>
  <c r="B691" i="3" s="1"/>
  <c r="B692" i="3" s="1"/>
  <c r="B693" i="3" s="1"/>
  <c r="B694" i="3" s="1"/>
  <c r="B695" i="3" s="1"/>
  <c r="B696" i="3" s="1"/>
  <c r="B697" i="3" s="1"/>
  <c r="B698" i="3" s="1"/>
  <c r="B699" i="3" s="1"/>
  <c r="B700" i="3" s="1"/>
  <c r="B701" i="3" s="1"/>
  <c r="B702" i="3" s="1"/>
  <c r="B703" i="3" s="1"/>
  <c r="B704" i="3" s="1"/>
  <c r="B705" i="3" s="1"/>
  <c r="B706" i="3" s="1"/>
  <c r="B707" i="3" s="1"/>
  <c r="B708" i="3" s="1"/>
  <c r="B709" i="3" s="1"/>
  <c r="B710" i="3" s="1"/>
  <c r="B711" i="3" s="1"/>
  <c r="B712" i="3" s="1"/>
  <c r="B713" i="3" s="1"/>
  <c r="B714" i="3" s="1"/>
  <c r="B715" i="3" s="1"/>
  <c r="B716" i="3" s="1"/>
  <c r="B717" i="3" s="1"/>
  <c r="B718" i="3" s="1"/>
  <c r="B719" i="3" s="1"/>
  <c r="B720" i="3" s="1"/>
  <c r="B721" i="3" s="1"/>
  <c r="B722" i="3" s="1"/>
  <c r="B723" i="3" s="1"/>
  <c r="B724" i="3" s="1"/>
  <c r="B725" i="3" s="1"/>
  <c r="B726" i="3" s="1"/>
  <c r="B727" i="3" s="1"/>
  <c r="B728" i="3" s="1"/>
  <c r="B729" i="3" s="1"/>
  <c r="B730" i="3" s="1"/>
  <c r="B731" i="3" s="1"/>
  <c r="D26" i="20" l="1"/>
  <c r="C26" i="20"/>
  <c r="B27" i="20"/>
  <c r="A30" i="20"/>
  <c r="C22" i="3"/>
  <c r="D23" i="3" s="1"/>
  <c r="D27" i="20" l="1"/>
  <c r="C27" i="20"/>
  <c r="B28" i="20"/>
  <c r="A31" i="20"/>
  <c r="C23" i="3"/>
  <c r="D24" i="3" s="1"/>
  <c r="D28" i="20" l="1"/>
  <c r="C28" i="20"/>
  <c r="B29" i="20"/>
  <c r="A32" i="20"/>
  <c r="C24" i="3"/>
  <c r="D25" i="3" s="1"/>
  <c r="D29" i="20" l="1"/>
  <c r="C29" i="20"/>
  <c r="B30" i="20"/>
  <c r="A33" i="20"/>
  <c r="C25" i="3"/>
  <c r="D26" i="3" s="1"/>
  <c r="D30" i="20" l="1"/>
  <c r="C30" i="20"/>
  <c r="B31" i="20"/>
  <c r="A34" i="20"/>
  <c r="C26" i="3"/>
  <c r="D27" i="3" s="1"/>
  <c r="D31" i="20" l="1"/>
  <c r="C31" i="20"/>
  <c r="B32" i="20"/>
  <c r="A35" i="20"/>
  <c r="C27" i="3"/>
  <c r="D28" i="3" s="1"/>
  <c r="D32" i="20" l="1"/>
  <c r="C32" i="20"/>
  <c r="B33" i="20"/>
  <c r="A36" i="20"/>
  <c r="C28" i="3"/>
  <c r="D29" i="3" s="1"/>
  <c r="D33" i="20" l="1"/>
  <c r="C33" i="20"/>
  <c r="B34" i="20"/>
  <c r="A37" i="20"/>
  <c r="C29" i="3"/>
  <c r="D30" i="3" s="1"/>
  <c r="D34" i="20" l="1"/>
  <c r="C34" i="20"/>
  <c r="B35" i="20"/>
  <c r="A38" i="20"/>
  <c r="C30" i="3"/>
  <c r="D31" i="3" s="1"/>
  <c r="D35" i="20" l="1"/>
  <c r="C35" i="20"/>
  <c r="B36" i="20"/>
  <c r="A39" i="20"/>
  <c r="C31" i="3"/>
  <c r="D32" i="3" s="1"/>
  <c r="D36" i="20" l="1"/>
  <c r="C36" i="20"/>
  <c r="B37" i="20"/>
  <c r="A40" i="20"/>
  <c r="C32" i="3"/>
  <c r="D33" i="3" s="1"/>
  <c r="D37" i="20" l="1"/>
  <c r="C37" i="20"/>
  <c r="B38" i="20"/>
  <c r="A41" i="20"/>
  <c r="C33" i="3"/>
  <c r="D34" i="3" s="1"/>
  <c r="D38" i="20" l="1"/>
  <c r="C38" i="20"/>
  <c r="B39" i="20"/>
  <c r="A42" i="20"/>
  <c r="C34" i="3"/>
  <c r="D35" i="3" s="1"/>
  <c r="D39" i="20" l="1"/>
  <c r="C39" i="20"/>
  <c r="B40" i="20"/>
  <c r="A43" i="20"/>
  <c r="C35" i="3"/>
  <c r="D36" i="3" s="1"/>
  <c r="D40" i="20" l="1"/>
  <c r="C40" i="20"/>
  <c r="B41" i="20"/>
  <c r="A44" i="20"/>
  <c r="C36" i="3"/>
  <c r="D37" i="3" s="1"/>
  <c r="D41" i="20" l="1"/>
  <c r="C41" i="20"/>
  <c r="B42" i="20"/>
  <c r="A45" i="20"/>
  <c r="C37" i="3"/>
  <c r="D38" i="3" s="1"/>
  <c r="D42" i="20" l="1"/>
  <c r="C42" i="20"/>
  <c r="B43" i="20"/>
  <c r="A46" i="20"/>
  <c r="C38" i="3"/>
  <c r="D39" i="3" s="1"/>
  <c r="D43" i="20" l="1"/>
  <c r="C43" i="20"/>
  <c r="B44" i="20"/>
  <c r="A47" i="20"/>
  <c r="C39" i="3"/>
  <c r="D40" i="3" s="1"/>
  <c r="D44" i="20" l="1"/>
  <c r="C44" i="20"/>
  <c r="B45" i="20"/>
  <c r="A48" i="20"/>
  <c r="C40" i="3"/>
  <c r="D41" i="3" s="1"/>
  <c r="D45" i="20" l="1"/>
  <c r="C45" i="20"/>
  <c r="B46" i="20"/>
  <c r="A49" i="20"/>
  <c r="C41" i="3"/>
  <c r="D42" i="3" s="1"/>
  <c r="D46" i="20" l="1"/>
  <c r="C46" i="20"/>
  <c r="B47" i="20"/>
  <c r="A50" i="20"/>
  <c r="C42" i="3"/>
  <c r="D43" i="3" s="1"/>
  <c r="D47" i="20" l="1"/>
  <c r="C47" i="20"/>
  <c r="B48" i="20"/>
  <c r="A51" i="20"/>
  <c r="C43" i="3"/>
  <c r="D44" i="3" s="1"/>
  <c r="D48" i="20" l="1"/>
  <c r="C48" i="20"/>
  <c r="B49" i="20"/>
  <c r="A52" i="20"/>
  <c r="C44" i="3"/>
  <c r="D45" i="3" s="1"/>
  <c r="D49" i="20" l="1"/>
  <c r="C49" i="20"/>
  <c r="B50" i="20"/>
  <c r="A53" i="20"/>
  <c r="C45" i="3"/>
  <c r="D46" i="3" s="1"/>
  <c r="D50" i="20" l="1"/>
  <c r="C50" i="20"/>
  <c r="B51" i="20"/>
  <c r="A54" i="20"/>
  <c r="C46" i="3"/>
  <c r="D47" i="3" s="1"/>
  <c r="D51" i="20" l="1"/>
  <c r="C51" i="20"/>
  <c r="B52" i="20"/>
  <c r="A55" i="20"/>
  <c r="C47" i="3"/>
  <c r="D48" i="3" s="1"/>
  <c r="D52" i="20" l="1"/>
  <c r="C52" i="20"/>
  <c r="B53" i="20"/>
  <c r="A56" i="20"/>
  <c r="C48" i="3"/>
  <c r="D49" i="3" s="1"/>
  <c r="D53" i="20" l="1"/>
  <c r="C53" i="20"/>
  <c r="B54" i="20"/>
  <c r="A57" i="20"/>
  <c r="C49" i="3"/>
  <c r="D50" i="3" s="1"/>
  <c r="D54" i="20" l="1"/>
  <c r="C54" i="20"/>
  <c r="B55" i="20"/>
  <c r="A58" i="20"/>
  <c r="C50" i="3"/>
  <c r="D51" i="3" s="1"/>
  <c r="D55" i="20" l="1"/>
  <c r="C55" i="20"/>
  <c r="B56" i="20"/>
  <c r="A59" i="20"/>
  <c r="C51" i="3"/>
  <c r="D52" i="3" s="1"/>
  <c r="D56" i="20" l="1"/>
  <c r="C56" i="20"/>
  <c r="B57" i="20"/>
  <c r="A60" i="20"/>
  <c r="C52" i="3"/>
  <c r="D53" i="3" s="1"/>
  <c r="D57" i="20" l="1"/>
  <c r="C57" i="20"/>
  <c r="B58" i="20"/>
  <c r="A61" i="20"/>
  <c r="C53" i="3"/>
  <c r="D54" i="3" s="1"/>
  <c r="D58" i="20" l="1"/>
  <c r="C58" i="20"/>
  <c r="B59" i="20"/>
  <c r="A62" i="20"/>
  <c r="C54" i="3"/>
  <c r="D55" i="3" s="1"/>
  <c r="D59" i="20" l="1"/>
  <c r="C59" i="20"/>
  <c r="B60" i="20"/>
  <c r="A63" i="20"/>
  <c r="C55" i="3"/>
  <c r="D56" i="3" s="1"/>
  <c r="D60" i="20" l="1"/>
  <c r="C60" i="20"/>
  <c r="B61" i="20"/>
  <c r="A64" i="20"/>
  <c r="C56" i="3"/>
  <c r="D57" i="3" s="1"/>
  <c r="D61" i="20" l="1"/>
  <c r="C61" i="20"/>
  <c r="B62" i="20"/>
  <c r="A65" i="20"/>
  <c r="C57" i="3"/>
  <c r="D58" i="3" s="1"/>
  <c r="D62" i="20" l="1"/>
  <c r="C62" i="20"/>
  <c r="B63" i="20"/>
  <c r="A66" i="20"/>
  <c r="C58" i="3"/>
  <c r="D59" i="3" s="1"/>
  <c r="D63" i="20" l="1"/>
  <c r="C63" i="20"/>
  <c r="B64" i="20"/>
  <c r="A67" i="20"/>
  <c r="C59" i="3"/>
  <c r="D60" i="3" s="1"/>
  <c r="D64" i="20" l="1"/>
  <c r="C64" i="20"/>
  <c r="B65" i="20"/>
  <c r="A68" i="20"/>
  <c r="C60" i="3"/>
  <c r="D61" i="3" s="1"/>
  <c r="D65" i="20" l="1"/>
  <c r="C65" i="20"/>
  <c r="B66" i="20"/>
  <c r="A69" i="20"/>
  <c r="C61" i="3"/>
  <c r="D62" i="3" s="1"/>
  <c r="D66" i="20" l="1"/>
  <c r="C66" i="20"/>
  <c r="B67" i="20"/>
  <c r="A70" i="20"/>
  <c r="C62" i="3"/>
  <c r="D63" i="3" s="1"/>
  <c r="D67" i="20" l="1"/>
  <c r="C67" i="20"/>
  <c r="B68" i="20"/>
  <c r="A71" i="20"/>
  <c r="C63" i="3"/>
  <c r="D64" i="3" s="1"/>
  <c r="D68" i="20" l="1"/>
  <c r="C68" i="20"/>
  <c r="B69" i="20"/>
  <c r="A72" i="20"/>
  <c r="C64" i="3"/>
  <c r="D65" i="3" s="1"/>
  <c r="D69" i="20" l="1"/>
  <c r="C69" i="20"/>
  <c r="B70" i="20"/>
  <c r="A73" i="20"/>
  <c r="C65" i="3"/>
  <c r="D66" i="3" s="1"/>
  <c r="D70" i="20" l="1"/>
  <c r="C70" i="20"/>
  <c r="B71" i="20"/>
  <c r="A74" i="20"/>
  <c r="C66" i="3"/>
  <c r="D67" i="3" s="1"/>
  <c r="D71" i="20" l="1"/>
  <c r="C71" i="20"/>
  <c r="B72" i="20"/>
  <c r="A75" i="20"/>
  <c r="C67" i="3"/>
  <c r="D68" i="3" s="1"/>
  <c r="D72" i="20" l="1"/>
  <c r="C72" i="20"/>
  <c r="B73" i="20"/>
  <c r="A76" i="20"/>
  <c r="C68" i="3"/>
  <c r="D69" i="3" s="1"/>
  <c r="D73" i="20" l="1"/>
  <c r="C73" i="20"/>
  <c r="B74" i="20"/>
  <c r="A77" i="20"/>
  <c r="C69" i="3"/>
  <c r="D70" i="3" s="1"/>
  <c r="D74" i="20" l="1"/>
  <c r="C74" i="20"/>
  <c r="B75" i="20"/>
  <c r="A78" i="20"/>
  <c r="C70" i="3"/>
  <c r="D71" i="3" s="1"/>
  <c r="D75" i="20" l="1"/>
  <c r="C75" i="20"/>
  <c r="B76" i="20"/>
  <c r="A79" i="20"/>
  <c r="C71" i="3"/>
  <c r="D72" i="3" s="1"/>
  <c r="D76" i="20" l="1"/>
  <c r="C76" i="20"/>
  <c r="B77" i="20"/>
  <c r="A80" i="20"/>
  <c r="C72" i="3"/>
  <c r="D73" i="3" s="1"/>
  <c r="D77" i="20" l="1"/>
  <c r="C77" i="20"/>
  <c r="B78" i="20"/>
  <c r="A81" i="20"/>
  <c r="C73" i="3"/>
  <c r="D74" i="3" s="1"/>
  <c r="D78" i="20" l="1"/>
  <c r="C78" i="20"/>
  <c r="B79" i="20"/>
  <c r="A82" i="20"/>
  <c r="C74" i="3"/>
  <c r="D75" i="3" s="1"/>
  <c r="D79" i="20" l="1"/>
  <c r="C79" i="20"/>
  <c r="B80" i="20"/>
  <c r="A83" i="20"/>
  <c r="C75" i="3"/>
  <c r="D76" i="3" s="1"/>
  <c r="D80" i="20" l="1"/>
  <c r="C80" i="20"/>
  <c r="B81" i="20"/>
  <c r="A84" i="20"/>
  <c r="C76" i="3"/>
  <c r="D77" i="3" s="1"/>
  <c r="D81" i="20" l="1"/>
  <c r="C81" i="20"/>
  <c r="B82" i="20"/>
  <c r="A85" i="20"/>
  <c r="C77" i="3"/>
  <c r="D78" i="3" s="1"/>
  <c r="D82" i="20" l="1"/>
  <c r="C82" i="20"/>
  <c r="B83" i="20"/>
  <c r="A86" i="20"/>
  <c r="C78" i="3"/>
  <c r="D79" i="3" s="1"/>
  <c r="D83" i="20" l="1"/>
  <c r="C83" i="20"/>
  <c r="B84" i="20"/>
  <c r="A87" i="20"/>
  <c r="C79" i="3"/>
  <c r="D80" i="3" s="1"/>
  <c r="D84" i="20" l="1"/>
  <c r="C84" i="20"/>
  <c r="B85" i="20"/>
  <c r="A88" i="20"/>
  <c r="C80" i="3"/>
  <c r="D81" i="3" s="1"/>
  <c r="D85" i="20" l="1"/>
  <c r="C85" i="20"/>
  <c r="B86" i="20"/>
  <c r="A89" i="20"/>
  <c r="C81" i="3"/>
  <c r="D82" i="3" s="1"/>
  <c r="D86" i="20" l="1"/>
  <c r="C86" i="20"/>
  <c r="B87" i="20"/>
  <c r="A90" i="20"/>
  <c r="C82" i="3"/>
  <c r="D83" i="3" s="1"/>
  <c r="D87" i="20" l="1"/>
  <c r="C87" i="20"/>
  <c r="B88" i="20"/>
  <c r="A91" i="20"/>
  <c r="C83" i="3"/>
  <c r="D84" i="3" s="1"/>
  <c r="D88" i="20" l="1"/>
  <c r="C88" i="20"/>
  <c r="B89" i="20"/>
  <c r="A92" i="20"/>
  <c r="C84" i="3"/>
  <c r="D85" i="3" s="1"/>
  <c r="D89" i="20" l="1"/>
  <c r="C89" i="20"/>
  <c r="B90" i="20"/>
  <c r="A93" i="20"/>
  <c r="C85" i="3"/>
  <c r="D86" i="3" s="1"/>
  <c r="D90" i="20" l="1"/>
  <c r="C90" i="20"/>
  <c r="B91" i="20"/>
  <c r="A94" i="20"/>
  <c r="C86" i="3"/>
  <c r="D87" i="3" s="1"/>
  <c r="D91" i="20" l="1"/>
  <c r="C91" i="20"/>
  <c r="B92" i="20"/>
  <c r="A95" i="20"/>
  <c r="C87" i="3"/>
  <c r="D88" i="3" s="1"/>
  <c r="D92" i="20" l="1"/>
  <c r="C92" i="20"/>
  <c r="B93" i="20"/>
  <c r="A96" i="20"/>
  <c r="C88" i="3"/>
  <c r="D89" i="3" s="1"/>
  <c r="D93" i="20" l="1"/>
  <c r="C93" i="20"/>
  <c r="B94" i="20"/>
  <c r="A97" i="20"/>
  <c r="C89" i="3"/>
  <c r="D90" i="3" s="1"/>
  <c r="D94" i="20" l="1"/>
  <c r="C94" i="20"/>
  <c r="B95" i="20"/>
  <c r="A98" i="20"/>
  <c r="C90" i="3"/>
  <c r="D91" i="3" s="1"/>
  <c r="D95" i="20" l="1"/>
  <c r="C95" i="20"/>
  <c r="B96" i="20"/>
  <c r="A99" i="20"/>
  <c r="C91" i="3"/>
  <c r="D92" i="3" s="1"/>
  <c r="D96" i="20" l="1"/>
  <c r="C96" i="20"/>
  <c r="B97" i="20"/>
  <c r="A100" i="20"/>
  <c r="C92" i="3"/>
  <c r="D93" i="3" s="1"/>
  <c r="D97" i="20" l="1"/>
  <c r="C97" i="20"/>
  <c r="B98" i="20"/>
  <c r="A101" i="20"/>
  <c r="C93" i="3"/>
  <c r="D94" i="3" s="1"/>
  <c r="D98" i="20" l="1"/>
  <c r="C98" i="20"/>
  <c r="B99" i="20"/>
  <c r="A102" i="20"/>
  <c r="C94" i="3"/>
  <c r="D95" i="3" s="1"/>
  <c r="D99" i="20" l="1"/>
  <c r="C99" i="20"/>
  <c r="B100" i="20"/>
  <c r="A103" i="20"/>
  <c r="C95" i="3"/>
  <c r="D96" i="3" s="1"/>
  <c r="D100" i="20" l="1"/>
  <c r="C100" i="20"/>
  <c r="B101" i="20"/>
  <c r="A104" i="20"/>
  <c r="C96" i="3"/>
  <c r="D97" i="3" s="1"/>
  <c r="D101" i="20" l="1"/>
  <c r="C101" i="20"/>
  <c r="B102" i="20"/>
  <c r="A105" i="20"/>
  <c r="C97" i="3"/>
  <c r="D98" i="3" s="1"/>
  <c r="D102" i="20" l="1"/>
  <c r="C102" i="20"/>
  <c r="D103" i="20" s="1"/>
  <c r="B103" i="20"/>
  <c r="A106" i="20"/>
  <c r="C98" i="3"/>
  <c r="D99" i="3" s="1"/>
  <c r="C103" i="20" l="1"/>
  <c r="D104" i="20" s="1"/>
  <c r="B104" i="20"/>
  <c r="A107" i="20"/>
  <c r="C99" i="3"/>
  <c r="D100" i="3" s="1"/>
  <c r="C104" i="20" l="1"/>
  <c r="D105" i="20" s="1"/>
  <c r="B105" i="20"/>
  <c r="A108" i="20"/>
  <c r="C100" i="3"/>
  <c r="D101" i="3" s="1"/>
  <c r="C105" i="20" l="1"/>
  <c r="D106" i="20" s="1"/>
  <c r="B106" i="20"/>
  <c r="A109" i="20"/>
  <c r="C101" i="3"/>
  <c r="D102" i="3" s="1"/>
  <c r="C106" i="20" l="1"/>
  <c r="D107" i="20" s="1"/>
  <c r="B107" i="20"/>
  <c r="A110" i="20"/>
  <c r="C102" i="3"/>
  <c r="D103" i="3" s="1"/>
  <c r="C107" i="20" l="1"/>
  <c r="D108" i="20" s="1"/>
  <c r="B108" i="20"/>
  <c r="A111" i="20"/>
  <c r="C103" i="3"/>
  <c r="D104" i="3" s="1"/>
  <c r="C108" i="20" l="1"/>
  <c r="D109" i="20" s="1"/>
  <c r="B109" i="20"/>
  <c r="A112" i="20"/>
  <c r="C104" i="3"/>
  <c r="D105" i="3" s="1"/>
  <c r="C109" i="20" l="1"/>
  <c r="D110" i="20" s="1"/>
  <c r="B110" i="20"/>
  <c r="A113" i="20"/>
  <c r="C105" i="3"/>
  <c r="D106" i="3" s="1"/>
  <c r="C110" i="20" l="1"/>
  <c r="D111" i="20" s="1"/>
  <c r="B111" i="20"/>
  <c r="A114" i="20"/>
  <c r="C106" i="3"/>
  <c r="D107" i="3" s="1"/>
  <c r="C111" i="20" l="1"/>
  <c r="D112" i="20" s="1"/>
  <c r="B112" i="20"/>
  <c r="A115" i="20"/>
  <c r="C107" i="3"/>
  <c r="D108" i="3" s="1"/>
  <c r="C112" i="20" l="1"/>
  <c r="D113" i="20" s="1"/>
  <c r="B113" i="20"/>
  <c r="A116" i="20"/>
  <c r="C108" i="3"/>
  <c r="D109" i="3" s="1"/>
  <c r="C113" i="20" l="1"/>
  <c r="D114" i="20" s="1"/>
  <c r="B114" i="20"/>
  <c r="A117" i="20"/>
  <c r="C109" i="3"/>
  <c r="D110" i="3" s="1"/>
  <c r="C114" i="20" l="1"/>
  <c r="D115" i="20" s="1"/>
  <c r="B115" i="20"/>
  <c r="A118" i="20"/>
  <c r="C110" i="3"/>
  <c r="D111" i="3" s="1"/>
  <c r="C115" i="20" l="1"/>
  <c r="D116" i="20" s="1"/>
  <c r="B116" i="20"/>
  <c r="A119" i="20"/>
  <c r="C111" i="3"/>
  <c r="D112" i="3" s="1"/>
  <c r="C116" i="20" l="1"/>
  <c r="D117" i="20" s="1"/>
  <c r="B117" i="20"/>
  <c r="A120" i="20"/>
  <c r="C112" i="3"/>
  <c r="D113" i="3" s="1"/>
  <c r="C117" i="20" l="1"/>
  <c r="D118" i="20" s="1"/>
  <c r="B118" i="20"/>
  <c r="A121" i="20"/>
  <c r="C113" i="3"/>
  <c r="D114" i="3" s="1"/>
  <c r="C118" i="20" l="1"/>
  <c r="D119" i="20" s="1"/>
  <c r="B119" i="20"/>
  <c r="A122" i="20"/>
  <c r="C114" i="3"/>
  <c r="D115" i="3" s="1"/>
  <c r="C119" i="20" l="1"/>
  <c r="D120" i="20" s="1"/>
  <c r="B120" i="20"/>
  <c r="A123" i="20"/>
  <c r="C115" i="3"/>
  <c r="D116" i="3" s="1"/>
  <c r="C120" i="20" l="1"/>
  <c r="D121" i="20" s="1"/>
  <c r="B121" i="20"/>
  <c r="A124" i="20"/>
  <c r="C116" i="3"/>
  <c r="D117" i="3" s="1"/>
  <c r="C121" i="20" l="1"/>
  <c r="D122" i="20" s="1"/>
  <c r="B122" i="20"/>
  <c r="A125" i="20"/>
  <c r="C117" i="3"/>
  <c r="D118" i="3" s="1"/>
  <c r="C122" i="20" l="1"/>
  <c r="D123" i="20" s="1"/>
  <c r="B123" i="20"/>
  <c r="A126" i="20"/>
  <c r="C118" i="3"/>
  <c r="D119" i="3" s="1"/>
  <c r="C123" i="20" l="1"/>
  <c r="D124" i="20" s="1"/>
  <c r="B124" i="20"/>
  <c r="A127" i="20"/>
  <c r="C119" i="3"/>
  <c r="D120" i="3" s="1"/>
  <c r="C124" i="20" l="1"/>
  <c r="D125" i="20" s="1"/>
  <c r="B125" i="20"/>
  <c r="A128" i="20"/>
  <c r="C120" i="3"/>
  <c r="D121" i="3" s="1"/>
  <c r="C125" i="20" l="1"/>
  <c r="D126" i="20" s="1"/>
  <c r="B126" i="20"/>
  <c r="A129" i="20"/>
  <c r="C121" i="3"/>
  <c r="D122" i="3" s="1"/>
  <c r="C126" i="20" l="1"/>
  <c r="D127" i="20" s="1"/>
  <c r="B127" i="20"/>
  <c r="A130" i="20"/>
  <c r="C122" i="3"/>
  <c r="D123" i="3" s="1"/>
  <c r="C127" i="20" l="1"/>
  <c r="D128" i="20" s="1"/>
  <c r="B128" i="20"/>
  <c r="A131" i="20"/>
  <c r="C123" i="3"/>
  <c r="D124" i="3" s="1"/>
  <c r="C128" i="20" l="1"/>
  <c r="D129" i="20" s="1"/>
  <c r="B129" i="20"/>
  <c r="A132" i="20"/>
  <c r="C124" i="3"/>
  <c r="D125" i="3" s="1"/>
  <c r="C129" i="20" l="1"/>
  <c r="D130" i="20" s="1"/>
  <c r="B130" i="20"/>
  <c r="A133" i="20"/>
  <c r="C125" i="3"/>
  <c r="D126" i="3" s="1"/>
  <c r="C130" i="20" l="1"/>
  <c r="D131" i="20" s="1"/>
  <c r="B131" i="20"/>
  <c r="A134" i="20"/>
  <c r="C126" i="3"/>
  <c r="D127" i="3" s="1"/>
  <c r="C131" i="20" l="1"/>
  <c r="D132" i="20" s="1"/>
  <c r="B132" i="20"/>
  <c r="A135" i="20"/>
  <c r="C127" i="3"/>
  <c r="D128" i="3" s="1"/>
  <c r="C132" i="20" l="1"/>
  <c r="D133" i="20" s="1"/>
  <c r="B133" i="20"/>
  <c r="A136" i="20"/>
  <c r="C128" i="3"/>
  <c r="D129" i="3" s="1"/>
  <c r="C133" i="20" l="1"/>
  <c r="D134" i="20" s="1"/>
  <c r="B134" i="20"/>
  <c r="A137" i="20"/>
  <c r="C129" i="3"/>
  <c r="D130" i="3" s="1"/>
  <c r="C134" i="20" l="1"/>
  <c r="D135" i="20" s="1"/>
  <c r="B135" i="20"/>
  <c r="A138" i="20"/>
  <c r="C130" i="3"/>
  <c r="D131" i="3" s="1"/>
  <c r="C135" i="20" l="1"/>
  <c r="D136" i="20" s="1"/>
  <c r="B136" i="20"/>
  <c r="A139" i="20"/>
  <c r="C131" i="3"/>
  <c r="D132" i="3" s="1"/>
  <c r="C136" i="20" l="1"/>
  <c r="D137" i="20" s="1"/>
  <c r="B137" i="20"/>
  <c r="A140" i="20"/>
  <c r="C132" i="3"/>
  <c r="D133" i="3" s="1"/>
  <c r="C137" i="20" l="1"/>
  <c r="D138" i="20" s="1"/>
  <c r="B138" i="20"/>
  <c r="A141" i="20"/>
  <c r="C133" i="3"/>
  <c r="D134" i="3" s="1"/>
  <c r="C138" i="20" l="1"/>
  <c r="D139" i="20" s="1"/>
  <c r="B139" i="20"/>
  <c r="A142" i="20"/>
  <c r="C134" i="3"/>
  <c r="D135" i="3" s="1"/>
  <c r="C139" i="20" l="1"/>
  <c r="D140" i="20" s="1"/>
  <c r="B140" i="20"/>
  <c r="A143" i="20"/>
  <c r="C135" i="3"/>
  <c r="D136" i="3" s="1"/>
  <c r="C140" i="20" l="1"/>
  <c r="D141" i="20" s="1"/>
  <c r="B141" i="20"/>
  <c r="A144" i="20"/>
  <c r="C136" i="3"/>
  <c r="D137" i="3" s="1"/>
  <c r="C141" i="20" l="1"/>
  <c r="D142" i="20" s="1"/>
  <c r="B142" i="20"/>
  <c r="A145" i="20"/>
  <c r="C137" i="3"/>
  <c r="D138" i="3" s="1"/>
  <c r="C142" i="20" l="1"/>
  <c r="D143" i="20" s="1"/>
  <c r="B143" i="20"/>
  <c r="A146" i="20"/>
  <c r="C138" i="3"/>
  <c r="D139" i="3" s="1"/>
  <c r="C143" i="20" l="1"/>
  <c r="D144" i="20" s="1"/>
  <c r="B144" i="20"/>
  <c r="A147" i="20"/>
  <c r="C139" i="3"/>
  <c r="D140" i="3" s="1"/>
  <c r="C144" i="20" l="1"/>
  <c r="D145" i="20" s="1"/>
  <c r="B145" i="20"/>
  <c r="A148" i="20"/>
  <c r="C140" i="3"/>
  <c r="D141" i="3" s="1"/>
  <c r="C145" i="20" l="1"/>
  <c r="D146" i="20" s="1"/>
  <c r="B146" i="20"/>
  <c r="A149" i="20"/>
  <c r="C141" i="3"/>
  <c r="D142" i="3" s="1"/>
  <c r="C146" i="20" l="1"/>
  <c r="D147" i="20" s="1"/>
  <c r="B147" i="20"/>
  <c r="A150" i="20"/>
  <c r="C142" i="3"/>
  <c r="D143" i="3" s="1"/>
  <c r="C147" i="20" l="1"/>
  <c r="D148" i="20" s="1"/>
  <c r="B148" i="20"/>
  <c r="A151" i="20"/>
  <c r="C143" i="3"/>
  <c r="D144" i="3" s="1"/>
  <c r="C148" i="20" l="1"/>
  <c r="D149" i="20" s="1"/>
  <c r="B149" i="20"/>
  <c r="A152" i="20"/>
  <c r="C144" i="3"/>
  <c r="D145" i="3" s="1"/>
  <c r="C149" i="20" l="1"/>
  <c r="D150" i="20" s="1"/>
  <c r="B150" i="20"/>
  <c r="A153" i="20"/>
  <c r="C145" i="3"/>
  <c r="D146" i="3" s="1"/>
  <c r="C150" i="20" l="1"/>
  <c r="D151" i="20" s="1"/>
  <c r="B151" i="20"/>
  <c r="A154" i="20"/>
  <c r="C146" i="3"/>
  <c r="D147" i="3" s="1"/>
  <c r="C151" i="20" l="1"/>
  <c r="D152" i="20" s="1"/>
  <c r="B152" i="20"/>
  <c r="A155" i="20"/>
  <c r="C147" i="3"/>
  <c r="D148" i="3" s="1"/>
  <c r="C152" i="20" l="1"/>
  <c r="D153" i="20" s="1"/>
  <c r="B153" i="20"/>
  <c r="A156" i="20"/>
  <c r="C148" i="3"/>
  <c r="D149" i="3" s="1"/>
  <c r="C153" i="20" l="1"/>
  <c r="D154" i="20" s="1"/>
  <c r="B154" i="20"/>
  <c r="A157" i="20"/>
  <c r="C149" i="3"/>
  <c r="D150" i="3" s="1"/>
  <c r="C154" i="20" l="1"/>
  <c r="D155" i="20" s="1"/>
  <c r="B155" i="20"/>
  <c r="A158" i="20"/>
  <c r="C150" i="3"/>
  <c r="D151" i="3" s="1"/>
  <c r="C155" i="20" l="1"/>
  <c r="D156" i="20" s="1"/>
  <c r="B156" i="20"/>
  <c r="A159" i="20"/>
  <c r="C151" i="3"/>
  <c r="D152" i="3" s="1"/>
  <c r="C156" i="20" l="1"/>
  <c r="D157" i="20" s="1"/>
  <c r="B157" i="20"/>
  <c r="A160" i="20"/>
  <c r="C152" i="3"/>
  <c r="D153" i="3" s="1"/>
  <c r="C157" i="20" l="1"/>
  <c r="D158" i="20" s="1"/>
  <c r="B158" i="20"/>
  <c r="A161" i="20"/>
  <c r="C153" i="3"/>
  <c r="D154" i="3" s="1"/>
  <c r="C158" i="20" l="1"/>
  <c r="D159" i="20" s="1"/>
  <c r="B159" i="20"/>
  <c r="A162" i="20"/>
  <c r="C154" i="3"/>
  <c r="D155" i="3" s="1"/>
  <c r="C159" i="20" l="1"/>
  <c r="D160" i="20" s="1"/>
  <c r="B160" i="20"/>
  <c r="A163" i="20"/>
  <c r="C155" i="3"/>
  <c r="D156" i="3" s="1"/>
  <c r="C160" i="20" l="1"/>
  <c r="D161" i="20" s="1"/>
  <c r="B161" i="20"/>
  <c r="A164" i="20"/>
  <c r="C156" i="3"/>
  <c r="D157" i="3" s="1"/>
  <c r="C161" i="20" l="1"/>
  <c r="D162" i="20" s="1"/>
  <c r="B162" i="20"/>
  <c r="A165" i="20"/>
  <c r="C157" i="3"/>
  <c r="D158" i="3" s="1"/>
  <c r="C162" i="20" l="1"/>
  <c r="D163" i="20" s="1"/>
  <c r="B163" i="20"/>
  <c r="A166" i="20"/>
  <c r="C158" i="3"/>
  <c r="D159" i="3" s="1"/>
  <c r="C163" i="20" l="1"/>
  <c r="D164" i="20" s="1"/>
  <c r="B164" i="20"/>
  <c r="A167" i="20"/>
  <c r="C159" i="3"/>
  <c r="D160" i="3" s="1"/>
  <c r="C164" i="20" l="1"/>
  <c r="D165" i="20" s="1"/>
  <c r="B165" i="20"/>
  <c r="A168" i="20"/>
  <c r="C160" i="3"/>
  <c r="D161" i="3" s="1"/>
  <c r="C165" i="20" l="1"/>
  <c r="D166" i="20" s="1"/>
  <c r="B166" i="20"/>
  <c r="A169" i="20"/>
  <c r="C161" i="3"/>
  <c r="D162" i="3" s="1"/>
  <c r="C166" i="20" l="1"/>
  <c r="D167" i="20" s="1"/>
  <c r="B167" i="20"/>
  <c r="A170" i="20"/>
  <c r="C162" i="3"/>
  <c r="D163" i="3" s="1"/>
  <c r="C167" i="20" l="1"/>
  <c r="D168" i="20" s="1"/>
  <c r="B168" i="20"/>
  <c r="A171" i="20"/>
  <c r="C163" i="3"/>
  <c r="D164" i="3" s="1"/>
  <c r="C168" i="20" l="1"/>
  <c r="D169" i="20" s="1"/>
  <c r="B169" i="20"/>
  <c r="A172" i="20"/>
  <c r="C164" i="3"/>
  <c r="D165" i="3" s="1"/>
  <c r="C169" i="20" l="1"/>
  <c r="D170" i="20" s="1"/>
  <c r="B170" i="20"/>
  <c r="A173" i="20"/>
  <c r="C165" i="3"/>
  <c r="D166" i="3" s="1"/>
  <c r="C170" i="20" l="1"/>
  <c r="D171" i="20" s="1"/>
  <c r="B171" i="20"/>
  <c r="A174" i="20"/>
  <c r="C166" i="3"/>
  <c r="D167" i="3" s="1"/>
  <c r="C171" i="20" l="1"/>
  <c r="D172" i="20" s="1"/>
  <c r="B172" i="20"/>
  <c r="A175" i="20"/>
  <c r="C167" i="3"/>
  <c r="D168" i="3" s="1"/>
  <c r="C172" i="20" l="1"/>
  <c r="D173" i="20" s="1"/>
  <c r="B173" i="20"/>
  <c r="A176" i="20"/>
  <c r="C168" i="3"/>
  <c r="D169" i="3" s="1"/>
  <c r="C173" i="20" l="1"/>
  <c r="D174" i="20" s="1"/>
  <c r="B174" i="20"/>
  <c r="A177" i="20"/>
  <c r="C169" i="3"/>
  <c r="D170" i="3" s="1"/>
  <c r="C174" i="20" l="1"/>
  <c r="D175" i="20" s="1"/>
  <c r="B175" i="20"/>
  <c r="A178" i="20"/>
  <c r="C170" i="3"/>
  <c r="D171" i="3" s="1"/>
  <c r="C175" i="20" l="1"/>
  <c r="D176" i="20" s="1"/>
  <c r="B176" i="20"/>
  <c r="A179" i="20"/>
  <c r="C171" i="3"/>
  <c r="D172" i="3" s="1"/>
  <c r="C176" i="20" l="1"/>
  <c r="D177" i="20" s="1"/>
  <c r="B177" i="20"/>
  <c r="A180" i="20"/>
  <c r="C172" i="3"/>
  <c r="D173" i="3" s="1"/>
  <c r="C177" i="20" l="1"/>
  <c r="D178" i="20" s="1"/>
  <c r="B178" i="20"/>
  <c r="A181" i="20"/>
  <c r="C173" i="3"/>
  <c r="D174" i="3" s="1"/>
  <c r="C178" i="20" l="1"/>
  <c r="D179" i="20" s="1"/>
  <c r="B179" i="20"/>
  <c r="A182" i="20"/>
  <c r="C174" i="3"/>
  <c r="D175" i="3" s="1"/>
  <c r="C179" i="20" l="1"/>
  <c r="D180" i="20" s="1"/>
  <c r="B180" i="20"/>
  <c r="A183" i="20"/>
  <c r="C175" i="3"/>
  <c r="D176" i="3" s="1"/>
  <c r="C180" i="20" l="1"/>
  <c r="D181" i="20" s="1"/>
  <c r="B181" i="20"/>
  <c r="A184" i="20"/>
  <c r="C176" i="3"/>
  <c r="D177" i="3" s="1"/>
  <c r="C181" i="20" l="1"/>
  <c r="D182" i="20" s="1"/>
  <c r="B182" i="20"/>
  <c r="A185" i="20"/>
  <c r="C177" i="3"/>
  <c r="D178" i="3" s="1"/>
  <c r="C182" i="20" l="1"/>
  <c r="D183" i="20" s="1"/>
  <c r="B183" i="20"/>
  <c r="A186" i="20"/>
  <c r="C178" i="3"/>
  <c r="D179" i="3" s="1"/>
  <c r="C183" i="20" l="1"/>
  <c r="D184" i="20" s="1"/>
  <c r="B184" i="20"/>
  <c r="A187" i="20"/>
  <c r="C179" i="3"/>
  <c r="D180" i="3" s="1"/>
  <c r="C184" i="20" l="1"/>
  <c r="D185" i="20" s="1"/>
  <c r="B185" i="20"/>
  <c r="A188" i="20"/>
  <c r="C180" i="3"/>
  <c r="D181" i="3" s="1"/>
  <c r="C185" i="20" l="1"/>
  <c r="D186" i="20" s="1"/>
  <c r="B186" i="20"/>
  <c r="A189" i="20"/>
  <c r="C181" i="3"/>
  <c r="D182" i="3" s="1"/>
  <c r="C186" i="20" l="1"/>
  <c r="D187" i="20" s="1"/>
  <c r="B187" i="20"/>
  <c r="A190" i="20"/>
  <c r="C182" i="3"/>
  <c r="D183" i="3" s="1"/>
  <c r="C187" i="20" l="1"/>
  <c r="D188" i="20" s="1"/>
  <c r="B188" i="20"/>
  <c r="A191" i="20"/>
  <c r="C183" i="3"/>
  <c r="D184" i="3" s="1"/>
  <c r="C188" i="20" l="1"/>
  <c r="D189" i="20" s="1"/>
  <c r="B189" i="20"/>
  <c r="A192" i="20"/>
  <c r="C184" i="3"/>
  <c r="D185" i="3" s="1"/>
  <c r="C189" i="20" l="1"/>
  <c r="D190" i="20" s="1"/>
  <c r="B190" i="20"/>
  <c r="A193" i="20"/>
  <c r="C185" i="3"/>
  <c r="D186" i="3" s="1"/>
  <c r="C190" i="20" l="1"/>
  <c r="D191" i="20" s="1"/>
  <c r="B191" i="20"/>
  <c r="A194" i="20"/>
  <c r="C186" i="3"/>
  <c r="D187" i="3" s="1"/>
  <c r="C191" i="20" l="1"/>
  <c r="D192" i="20" s="1"/>
  <c r="B192" i="20"/>
  <c r="A195" i="20"/>
  <c r="C187" i="3"/>
  <c r="D188" i="3" s="1"/>
  <c r="C192" i="20" l="1"/>
  <c r="D193" i="20" s="1"/>
  <c r="B193" i="20"/>
  <c r="A196" i="20"/>
  <c r="C188" i="3"/>
  <c r="D189" i="3" s="1"/>
  <c r="C193" i="20" l="1"/>
  <c r="D194" i="20" s="1"/>
  <c r="B194" i="20"/>
  <c r="A197" i="20"/>
  <c r="C189" i="3"/>
  <c r="D190" i="3" s="1"/>
  <c r="C194" i="20" l="1"/>
  <c r="D195" i="20" s="1"/>
  <c r="B195" i="20"/>
  <c r="A198" i="20"/>
  <c r="C190" i="3"/>
  <c r="D191" i="3" s="1"/>
  <c r="C195" i="20" l="1"/>
  <c r="D196" i="20" s="1"/>
  <c r="B196" i="20"/>
  <c r="A199" i="20"/>
  <c r="C191" i="3"/>
  <c r="D192" i="3" s="1"/>
  <c r="C196" i="20" l="1"/>
  <c r="D197" i="20" s="1"/>
  <c r="B197" i="20"/>
  <c r="A200" i="20"/>
  <c r="C192" i="3"/>
  <c r="D193" i="3" s="1"/>
  <c r="C197" i="20" l="1"/>
  <c r="D198" i="20" s="1"/>
  <c r="B198" i="20"/>
  <c r="A201" i="20"/>
  <c r="C193" i="3"/>
  <c r="D194" i="3" s="1"/>
  <c r="C198" i="20" l="1"/>
  <c r="D199" i="20" s="1"/>
  <c r="B199" i="20"/>
  <c r="A202" i="20"/>
  <c r="C194" i="3"/>
  <c r="D195" i="3" s="1"/>
  <c r="C199" i="20" l="1"/>
  <c r="D200" i="20" s="1"/>
  <c r="B200" i="20"/>
  <c r="A203" i="20"/>
  <c r="C195" i="3"/>
  <c r="D196" i="3" s="1"/>
  <c r="C200" i="20" l="1"/>
  <c r="D201" i="20" s="1"/>
  <c r="B201" i="20"/>
  <c r="A204" i="20"/>
  <c r="C196" i="3"/>
  <c r="D197" i="3" s="1"/>
  <c r="C201" i="20" l="1"/>
  <c r="D202" i="20" s="1"/>
  <c r="B202" i="20"/>
  <c r="A205" i="20"/>
  <c r="C197" i="3"/>
  <c r="D198" i="3" s="1"/>
  <c r="C202" i="20" l="1"/>
  <c r="D203" i="20" s="1"/>
  <c r="B203" i="20"/>
  <c r="A206" i="20"/>
  <c r="C198" i="3"/>
  <c r="D199" i="3" s="1"/>
  <c r="C203" i="20" l="1"/>
  <c r="D204" i="20" s="1"/>
  <c r="B204" i="20"/>
  <c r="A207" i="20"/>
  <c r="C199" i="3"/>
  <c r="D200" i="3" s="1"/>
  <c r="C204" i="20" l="1"/>
  <c r="D205" i="20" s="1"/>
  <c r="B205" i="20"/>
  <c r="A208" i="20"/>
  <c r="C200" i="3"/>
  <c r="D201" i="3" s="1"/>
  <c r="C205" i="20" l="1"/>
  <c r="D206" i="20" s="1"/>
  <c r="B206" i="20"/>
  <c r="A209" i="20"/>
  <c r="C201" i="3"/>
  <c r="D202" i="3" s="1"/>
  <c r="C206" i="20" l="1"/>
  <c r="D207" i="20" s="1"/>
  <c r="B207" i="20"/>
  <c r="A210" i="20"/>
  <c r="C202" i="3"/>
  <c r="D203" i="3" s="1"/>
  <c r="C207" i="20" l="1"/>
  <c r="D208" i="20" s="1"/>
  <c r="B208" i="20"/>
  <c r="A211" i="20"/>
  <c r="C203" i="3"/>
  <c r="D204" i="3" s="1"/>
  <c r="C208" i="20" l="1"/>
  <c r="D209" i="20" s="1"/>
  <c r="B209" i="20"/>
  <c r="A212" i="20"/>
  <c r="C204" i="3"/>
  <c r="D205" i="3" s="1"/>
  <c r="C209" i="20" l="1"/>
  <c r="D210" i="20" s="1"/>
  <c r="B210" i="20"/>
  <c r="A213" i="20"/>
  <c r="C205" i="3"/>
  <c r="D206" i="3" s="1"/>
  <c r="C210" i="20" l="1"/>
  <c r="D211" i="20" s="1"/>
  <c r="B211" i="20"/>
  <c r="A214" i="20"/>
  <c r="C206" i="3"/>
  <c r="D207" i="3" s="1"/>
  <c r="C211" i="20" l="1"/>
  <c r="D212" i="20" s="1"/>
  <c r="B212" i="20"/>
  <c r="A215" i="20"/>
  <c r="C207" i="3"/>
  <c r="D208" i="3" s="1"/>
  <c r="C212" i="20" l="1"/>
  <c r="D213" i="20" s="1"/>
  <c r="B213" i="20"/>
  <c r="A216" i="20"/>
  <c r="C208" i="3"/>
  <c r="D209" i="3" s="1"/>
  <c r="C213" i="20" l="1"/>
  <c r="D214" i="20" s="1"/>
  <c r="B214" i="20"/>
  <c r="A217" i="20"/>
  <c r="C209" i="3"/>
  <c r="D210" i="3" s="1"/>
  <c r="C214" i="20" l="1"/>
  <c r="D215" i="20" s="1"/>
  <c r="B215" i="20"/>
  <c r="A218" i="20"/>
  <c r="C210" i="3"/>
  <c r="D211" i="3" s="1"/>
  <c r="C215" i="20" l="1"/>
  <c r="D216" i="20" s="1"/>
  <c r="B216" i="20"/>
  <c r="A219" i="20"/>
  <c r="C211" i="3"/>
  <c r="D212" i="3" s="1"/>
  <c r="C216" i="20" l="1"/>
  <c r="D217" i="20" s="1"/>
  <c r="B217" i="20"/>
  <c r="A220" i="20"/>
  <c r="C212" i="3"/>
  <c r="D213" i="3" s="1"/>
  <c r="C217" i="20" l="1"/>
  <c r="D218" i="20" s="1"/>
  <c r="B218" i="20"/>
  <c r="A221" i="20"/>
  <c r="C213" i="3"/>
  <c r="D214" i="3" s="1"/>
  <c r="C218" i="20" l="1"/>
  <c r="D219" i="20" s="1"/>
  <c r="B219" i="20"/>
  <c r="A222" i="20"/>
  <c r="C214" i="3"/>
  <c r="D215" i="3" s="1"/>
  <c r="C219" i="20" l="1"/>
  <c r="D220" i="20" s="1"/>
  <c r="B220" i="20"/>
  <c r="A223" i="20"/>
  <c r="C215" i="3"/>
  <c r="D216" i="3" s="1"/>
  <c r="C220" i="20" l="1"/>
  <c r="D221" i="20" s="1"/>
  <c r="B221" i="20"/>
  <c r="A224" i="20"/>
  <c r="C216" i="3"/>
  <c r="D217" i="3" s="1"/>
  <c r="C221" i="20" l="1"/>
  <c r="D222" i="20" s="1"/>
  <c r="B222" i="20"/>
  <c r="A225" i="20"/>
  <c r="C217" i="3"/>
  <c r="D218" i="3" s="1"/>
  <c r="C222" i="20" l="1"/>
  <c r="D223" i="20" s="1"/>
  <c r="B223" i="20"/>
  <c r="A226" i="20"/>
  <c r="C218" i="3"/>
  <c r="D219" i="3" s="1"/>
  <c r="C223" i="20" l="1"/>
  <c r="D224" i="20" s="1"/>
  <c r="B224" i="20"/>
  <c r="A227" i="20"/>
  <c r="C219" i="3"/>
  <c r="D220" i="3" s="1"/>
  <c r="C224" i="20" l="1"/>
  <c r="D225" i="20" s="1"/>
  <c r="B225" i="20"/>
  <c r="A228" i="20"/>
  <c r="C220" i="3"/>
  <c r="D221" i="3" s="1"/>
  <c r="C225" i="20" l="1"/>
  <c r="D226" i="20" s="1"/>
  <c r="B226" i="20"/>
  <c r="A229" i="20"/>
  <c r="C221" i="3"/>
  <c r="D222" i="3" s="1"/>
  <c r="C226" i="20" l="1"/>
  <c r="D227" i="20" s="1"/>
  <c r="B227" i="20"/>
  <c r="A230" i="20"/>
  <c r="C222" i="3"/>
  <c r="D223" i="3" s="1"/>
  <c r="C227" i="20" l="1"/>
  <c r="D228" i="20" s="1"/>
  <c r="B228" i="20"/>
  <c r="A231" i="20"/>
  <c r="C223" i="3"/>
  <c r="D224" i="3" s="1"/>
  <c r="C228" i="20" l="1"/>
  <c r="D229" i="20" s="1"/>
  <c r="B229" i="20"/>
  <c r="A232" i="20"/>
  <c r="C224" i="3"/>
  <c r="D225" i="3" s="1"/>
  <c r="C229" i="20" l="1"/>
  <c r="D230" i="20" s="1"/>
  <c r="B230" i="20"/>
  <c r="A233" i="20"/>
  <c r="C225" i="3"/>
  <c r="D226" i="3" s="1"/>
  <c r="C230" i="20" l="1"/>
  <c r="D231" i="20" s="1"/>
  <c r="B231" i="20"/>
  <c r="A234" i="20"/>
  <c r="C226" i="3"/>
  <c r="D227" i="3" s="1"/>
  <c r="C231" i="20" l="1"/>
  <c r="D232" i="20" s="1"/>
  <c r="B232" i="20"/>
  <c r="A235" i="20"/>
  <c r="C227" i="3"/>
  <c r="D228" i="3" s="1"/>
  <c r="C232" i="20" l="1"/>
  <c r="D233" i="20" s="1"/>
  <c r="B233" i="20"/>
  <c r="A236" i="20"/>
  <c r="C228" i="3"/>
  <c r="D229" i="3" s="1"/>
  <c r="C233" i="20" l="1"/>
  <c r="D234" i="20" s="1"/>
  <c r="B234" i="20"/>
  <c r="A237" i="20"/>
  <c r="C229" i="3"/>
  <c r="D230" i="3" s="1"/>
  <c r="C234" i="20" l="1"/>
  <c r="D235" i="20" s="1"/>
  <c r="B235" i="20"/>
  <c r="A238" i="20"/>
  <c r="C230" i="3"/>
  <c r="D231" i="3" s="1"/>
  <c r="C235" i="20" l="1"/>
  <c r="D236" i="20" s="1"/>
  <c r="B236" i="20"/>
  <c r="A239" i="20"/>
  <c r="C231" i="3"/>
  <c r="D232" i="3" s="1"/>
  <c r="C236" i="20" l="1"/>
  <c r="D237" i="20" s="1"/>
  <c r="B237" i="20"/>
  <c r="A240" i="20"/>
  <c r="C232" i="3"/>
  <c r="D233" i="3" s="1"/>
  <c r="C237" i="20" l="1"/>
  <c r="D238" i="20" s="1"/>
  <c r="B238" i="20"/>
  <c r="A241" i="20"/>
  <c r="C233" i="3"/>
  <c r="D234" i="3" s="1"/>
  <c r="C238" i="20" l="1"/>
  <c r="D239" i="20" s="1"/>
  <c r="B239" i="20"/>
  <c r="A242" i="20"/>
  <c r="C234" i="3"/>
  <c r="D235" i="3" s="1"/>
  <c r="C239" i="20" l="1"/>
  <c r="D240" i="20" s="1"/>
  <c r="B240" i="20"/>
  <c r="A243" i="20"/>
  <c r="C235" i="3"/>
  <c r="D236" i="3" s="1"/>
  <c r="C240" i="20" l="1"/>
  <c r="D241" i="20" s="1"/>
  <c r="B241" i="20"/>
  <c r="A244" i="20"/>
  <c r="C236" i="3"/>
  <c r="D237" i="3" s="1"/>
  <c r="C241" i="20" l="1"/>
  <c r="D242" i="20" s="1"/>
  <c r="B242" i="20"/>
  <c r="A245" i="20"/>
  <c r="C237" i="3"/>
  <c r="D238" i="3" s="1"/>
  <c r="C242" i="20" l="1"/>
  <c r="D243" i="20" s="1"/>
  <c r="B243" i="20"/>
  <c r="A246" i="20"/>
  <c r="C238" i="3"/>
  <c r="D239" i="3" s="1"/>
  <c r="C243" i="20" l="1"/>
  <c r="D244" i="20" s="1"/>
  <c r="B244" i="20"/>
  <c r="A247" i="20"/>
  <c r="C239" i="3"/>
  <c r="D240" i="3" s="1"/>
  <c r="C244" i="20" l="1"/>
  <c r="D245" i="20" s="1"/>
  <c r="B245" i="20"/>
  <c r="A248" i="20"/>
  <c r="C240" i="3"/>
  <c r="D241" i="3" s="1"/>
  <c r="C245" i="20" l="1"/>
  <c r="D246" i="20" s="1"/>
  <c r="B246" i="20"/>
  <c r="A249" i="20"/>
  <c r="C241" i="3"/>
  <c r="D242" i="3" s="1"/>
  <c r="C246" i="20" l="1"/>
  <c r="D247" i="20" s="1"/>
  <c r="B247" i="20"/>
  <c r="A250" i="20"/>
  <c r="C242" i="3"/>
  <c r="D243" i="3" s="1"/>
  <c r="C247" i="20" l="1"/>
  <c r="D248" i="20" s="1"/>
  <c r="B248" i="20"/>
  <c r="A251" i="20"/>
  <c r="C243" i="3"/>
  <c r="D244" i="3" s="1"/>
  <c r="C248" i="20" l="1"/>
  <c r="D249" i="20" s="1"/>
  <c r="B249" i="20"/>
  <c r="A252" i="20"/>
  <c r="C244" i="3"/>
  <c r="D245" i="3" s="1"/>
  <c r="C249" i="20" l="1"/>
  <c r="D250" i="20" s="1"/>
  <c r="B250" i="20"/>
  <c r="A253" i="20"/>
  <c r="C245" i="3"/>
  <c r="D246" i="3" s="1"/>
  <c r="C250" i="20" l="1"/>
  <c r="D251" i="20" s="1"/>
  <c r="B251" i="20"/>
  <c r="A254" i="20"/>
  <c r="C246" i="3"/>
  <c r="D247" i="3" s="1"/>
  <c r="C251" i="20" l="1"/>
  <c r="D252" i="20" s="1"/>
  <c r="B252" i="20"/>
  <c r="A255" i="20"/>
  <c r="C247" i="3"/>
  <c r="D248" i="3" s="1"/>
  <c r="C252" i="20" l="1"/>
  <c r="D253" i="20" s="1"/>
  <c r="B253" i="20"/>
  <c r="A256" i="20"/>
  <c r="C248" i="3"/>
  <c r="D249" i="3" s="1"/>
  <c r="C253" i="20" l="1"/>
  <c r="D254" i="20" s="1"/>
  <c r="B254" i="20"/>
  <c r="A257" i="20"/>
  <c r="C249" i="3"/>
  <c r="D250" i="3" s="1"/>
  <c r="C254" i="20" l="1"/>
  <c r="D255" i="20" s="1"/>
  <c r="B255" i="20"/>
  <c r="A258" i="20"/>
  <c r="C250" i="3"/>
  <c r="D251" i="3" s="1"/>
  <c r="C255" i="20" l="1"/>
  <c r="D256" i="20" s="1"/>
  <c r="B256" i="20"/>
  <c r="A259" i="20"/>
  <c r="C251" i="3"/>
  <c r="D252" i="3" s="1"/>
  <c r="C256" i="20" l="1"/>
  <c r="D257" i="20" s="1"/>
  <c r="B257" i="20"/>
  <c r="A260" i="20"/>
  <c r="C252" i="3"/>
  <c r="D253" i="3" s="1"/>
  <c r="C257" i="20" l="1"/>
  <c r="D258" i="20" s="1"/>
  <c r="B258" i="20"/>
  <c r="A261" i="20"/>
  <c r="C253" i="3"/>
  <c r="D254" i="3" s="1"/>
  <c r="C258" i="20" l="1"/>
  <c r="D259" i="20" s="1"/>
  <c r="B259" i="20"/>
  <c r="A262" i="20"/>
  <c r="C254" i="3"/>
  <c r="D255" i="3" s="1"/>
  <c r="C259" i="20" l="1"/>
  <c r="D260" i="20" s="1"/>
  <c r="B260" i="20"/>
  <c r="A263" i="20"/>
  <c r="C255" i="3"/>
  <c r="D256" i="3" s="1"/>
  <c r="C260" i="20" l="1"/>
  <c r="D261" i="20" s="1"/>
  <c r="B261" i="20"/>
  <c r="A264" i="20"/>
  <c r="C256" i="3"/>
  <c r="D257" i="3" s="1"/>
  <c r="C261" i="20" l="1"/>
  <c r="D262" i="20" s="1"/>
  <c r="B262" i="20"/>
  <c r="A265" i="20"/>
  <c r="C257" i="3"/>
  <c r="D258" i="3" s="1"/>
  <c r="C262" i="20" l="1"/>
  <c r="D263" i="20" s="1"/>
  <c r="B263" i="20"/>
  <c r="A266" i="20"/>
  <c r="C258" i="3"/>
  <c r="D259" i="3" s="1"/>
  <c r="C263" i="20" l="1"/>
  <c r="D264" i="20" s="1"/>
  <c r="B264" i="20"/>
  <c r="A267" i="20"/>
  <c r="C259" i="3"/>
  <c r="D260" i="3" s="1"/>
  <c r="C264" i="20" l="1"/>
  <c r="D265" i="20" s="1"/>
  <c r="B265" i="20"/>
  <c r="A268" i="20"/>
  <c r="C260" i="3"/>
  <c r="D261" i="3" s="1"/>
  <c r="C265" i="20" l="1"/>
  <c r="D266" i="20" s="1"/>
  <c r="B266" i="20"/>
  <c r="A269" i="20"/>
  <c r="C261" i="3"/>
  <c r="D262" i="3" s="1"/>
  <c r="C266" i="20" l="1"/>
  <c r="D267" i="20" s="1"/>
  <c r="B267" i="20"/>
  <c r="A270" i="20"/>
  <c r="C262" i="3"/>
  <c r="D263" i="3" s="1"/>
  <c r="C267" i="20" l="1"/>
  <c r="D268" i="20" s="1"/>
  <c r="B268" i="20"/>
  <c r="A271" i="20"/>
  <c r="C263" i="3"/>
  <c r="D264" i="3" s="1"/>
  <c r="C268" i="20" l="1"/>
  <c r="D269" i="20" s="1"/>
  <c r="B269" i="20"/>
  <c r="A272" i="20"/>
  <c r="C264" i="3"/>
  <c r="D265" i="3" s="1"/>
  <c r="C269" i="20" l="1"/>
  <c r="D270" i="20" s="1"/>
  <c r="B270" i="20"/>
  <c r="A273" i="20"/>
  <c r="C265" i="3"/>
  <c r="D266" i="3" s="1"/>
  <c r="C270" i="20" l="1"/>
  <c r="D271" i="20" s="1"/>
  <c r="B271" i="20"/>
  <c r="A274" i="20"/>
  <c r="C266" i="3"/>
  <c r="D267" i="3" s="1"/>
  <c r="C271" i="20" l="1"/>
  <c r="D272" i="20" s="1"/>
  <c r="B272" i="20"/>
  <c r="A275" i="20"/>
  <c r="C267" i="3"/>
  <c r="D268" i="3" s="1"/>
  <c r="C272" i="20" l="1"/>
  <c r="D273" i="20" s="1"/>
  <c r="B273" i="20"/>
  <c r="A276" i="20"/>
  <c r="C268" i="3"/>
  <c r="D269" i="3" s="1"/>
  <c r="C273" i="20" l="1"/>
  <c r="D274" i="20" s="1"/>
  <c r="B274" i="20"/>
  <c r="A277" i="20"/>
  <c r="C269" i="3"/>
  <c r="D270" i="3" s="1"/>
  <c r="C274" i="20" l="1"/>
  <c r="D275" i="20" s="1"/>
  <c r="B275" i="20"/>
  <c r="A278" i="20"/>
  <c r="C270" i="3"/>
  <c r="D271" i="3" s="1"/>
  <c r="C275" i="20" l="1"/>
  <c r="D276" i="20" s="1"/>
  <c r="B276" i="20"/>
  <c r="A279" i="20"/>
  <c r="C271" i="3"/>
  <c r="D272" i="3" s="1"/>
  <c r="C276" i="20" l="1"/>
  <c r="D277" i="20" s="1"/>
  <c r="B277" i="20"/>
  <c r="A280" i="20"/>
  <c r="C272" i="3"/>
  <c r="D273" i="3" s="1"/>
  <c r="C277" i="20" l="1"/>
  <c r="D278" i="20" s="1"/>
  <c r="B278" i="20"/>
  <c r="A281" i="20"/>
  <c r="C273" i="3"/>
  <c r="D274" i="3" s="1"/>
  <c r="C278" i="20" l="1"/>
  <c r="D279" i="20" s="1"/>
  <c r="B279" i="20"/>
  <c r="A282" i="20"/>
  <c r="C274" i="3"/>
  <c r="D275" i="3" s="1"/>
  <c r="C279" i="20" l="1"/>
  <c r="D280" i="20" s="1"/>
  <c r="B280" i="20"/>
  <c r="A283" i="20"/>
  <c r="C275" i="3"/>
  <c r="D276" i="3" s="1"/>
  <c r="C280" i="20" l="1"/>
  <c r="D281" i="20" s="1"/>
  <c r="B281" i="20"/>
  <c r="A284" i="20"/>
  <c r="C276" i="3"/>
  <c r="D277" i="3" s="1"/>
  <c r="C281" i="20" l="1"/>
  <c r="D282" i="20" s="1"/>
  <c r="B282" i="20"/>
  <c r="A285" i="20"/>
  <c r="C277" i="3"/>
  <c r="D278" i="3" s="1"/>
  <c r="C282" i="20" l="1"/>
  <c r="D283" i="20" s="1"/>
  <c r="B283" i="20"/>
  <c r="A286" i="20"/>
  <c r="C278" i="3"/>
  <c r="D279" i="3" s="1"/>
  <c r="C283" i="20" l="1"/>
  <c r="D284" i="20" s="1"/>
  <c r="B284" i="20"/>
  <c r="A287" i="20"/>
  <c r="C279" i="3"/>
  <c r="D280" i="3" s="1"/>
  <c r="C284" i="20" l="1"/>
  <c r="D285" i="20" s="1"/>
  <c r="B285" i="20"/>
  <c r="A288" i="20"/>
  <c r="C280" i="3"/>
  <c r="D281" i="3" s="1"/>
  <c r="C285" i="20" l="1"/>
  <c r="D286" i="20" s="1"/>
  <c r="B286" i="20"/>
  <c r="A289" i="20"/>
  <c r="C281" i="3"/>
  <c r="D282" i="3" s="1"/>
  <c r="C286" i="20" l="1"/>
  <c r="D287" i="20" s="1"/>
  <c r="B287" i="20"/>
  <c r="A290" i="20"/>
  <c r="C282" i="3"/>
  <c r="D283" i="3" s="1"/>
  <c r="C287" i="20" l="1"/>
  <c r="D288" i="20" s="1"/>
  <c r="B288" i="20"/>
  <c r="A291" i="20"/>
  <c r="C283" i="3"/>
  <c r="D284" i="3" s="1"/>
  <c r="C288" i="20" l="1"/>
  <c r="D289" i="20" s="1"/>
  <c r="B289" i="20"/>
  <c r="A292" i="20"/>
  <c r="C284" i="3"/>
  <c r="D285" i="3" s="1"/>
  <c r="C289" i="20" l="1"/>
  <c r="D290" i="20" s="1"/>
  <c r="B290" i="20"/>
  <c r="A293" i="20"/>
  <c r="C285" i="3"/>
  <c r="D286" i="3" s="1"/>
  <c r="C290" i="20" l="1"/>
  <c r="D291" i="20" s="1"/>
  <c r="B291" i="20"/>
  <c r="A294" i="20"/>
  <c r="C286" i="3"/>
  <c r="D287" i="3" s="1"/>
  <c r="C291" i="20" l="1"/>
  <c r="D292" i="20" s="1"/>
  <c r="B292" i="20"/>
  <c r="A295" i="20"/>
  <c r="C287" i="3"/>
  <c r="D288" i="3" s="1"/>
  <c r="C292" i="20" l="1"/>
  <c r="D293" i="20" s="1"/>
  <c r="B293" i="20"/>
  <c r="A296" i="20"/>
  <c r="C288" i="3"/>
  <c r="D289" i="3" s="1"/>
  <c r="C293" i="20" l="1"/>
  <c r="D294" i="20" s="1"/>
  <c r="B294" i="20"/>
  <c r="A297" i="20"/>
  <c r="C289" i="3"/>
  <c r="D290" i="3" s="1"/>
  <c r="C294" i="20" l="1"/>
  <c r="D295" i="20" s="1"/>
  <c r="B295" i="20"/>
  <c r="A298" i="20"/>
  <c r="C290" i="3"/>
  <c r="D291" i="3" s="1"/>
  <c r="C295" i="20" l="1"/>
  <c r="D296" i="20" s="1"/>
  <c r="B296" i="20"/>
  <c r="A299" i="20"/>
  <c r="C291" i="3"/>
  <c r="D292" i="3" s="1"/>
  <c r="C296" i="20" l="1"/>
  <c r="D297" i="20" s="1"/>
  <c r="B297" i="20"/>
  <c r="A300" i="20"/>
  <c r="C292" i="3"/>
  <c r="D293" i="3" s="1"/>
  <c r="C297" i="20" l="1"/>
  <c r="D298" i="20" s="1"/>
  <c r="B298" i="20"/>
  <c r="A301" i="20"/>
  <c r="C293" i="3"/>
  <c r="D294" i="3" s="1"/>
  <c r="C298" i="20" l="1"/>
  <c r="D299" i="20" s="1"/>
  <c r="B299" i="20"/>
  <c r="A302" i="20"/>
  <c r="C294" i="3"/>
  <c r="D295" i="3" s="1"/>
  <c r="C299" i="20" l="1"/>
  <c r="D300" i="20" s="1"/>
  <c r="B300" i="20"/>
  <c r="A303" i="20"/>
  <c r="C295" i="3"/>
  <c r="D296" i="3" s="1"/>
  <c r="C300" i="20" l="1"/>
  <c r="D301" i="20" s="1"/>
  <c r="B301" i="20"/>
  <c r="A304" i="20"/>
  <c r="C296" i="3"/>
  <c r="D297" i="3" s="1"/>
  <c r="C301" i="20" l="1"/>
  <c r="D302" i="20" s="1"/>
  <c r="B302" i="20"/>
  <c r="A305" i="20"/>
  <c r="C297" i="3"/>
  <c r="D298" i="3" s="1"/>
  <c r="C302" i="20" l="1"/>
  <c r="D303" i="20" s="1"/>
  <c r="B303" i="20"/>
  <c r="A306" i="20"/>
  <c r="C298" i="3"/>
  <c r="D299" i="3" s="1"/>
  <c r="C303" i="20" l="1"/>
  <c r="D304" i="20" s="1"/>
  <c r="B304" i="20"/>
  <c r="A307" i="20"/>
  <c r="C299" i="3"/>
  <c r="D300" i="3" s="1"/>
  <c r="C304" i="20" l="1"/>
  <c r="D305" i="20" s="1"/>
  <c r="B305" i="20"/>
  <c r="A308" i="20"/>
  <c r="C300" i="3"/>
  <c r="D301" i="3" s="1"/>
  <c r="C305" i="20" l="1"/>
  <c r="D306" i="20" s="1"/>
  <c r="B306" i="20"/>
  <c r="A309" i="20"/>
  <c r="C301" i="3"/>
  <c r="D302" i="3" s="1"/>
  <c r="C306" i="20" l="1"/>
  <c r="D307" i="20" s="1"/>
  <c r="B307" i="20"/>
  <c r="A310" i="20"/>
  <c r="C302" i="3"/>
  <c r="D303" i="3" s="1"/>
  <c r="C307" i="20" l="1"/>
  <c r="D308" i="20" s="1"/>
  <c r="B308" i="20"/>
  <c r="A311" i="20"/>
  <c r="C303" i="3"/>
  <c r="D304" i="3" s="1"/>
  <c r="C308" i="20" l="1"/>
  <c r="D309" i="20" s="1"/>
  <c r="B309" i="20"/>
  <c r="A312" i="20"/>
  <c r="C304" i="3"/>
  <c r="D305" i="3" s="1"/>
  <c r="C309" i="20" l="1"/>
  <c r="D310" i="20" s="1"/>
  <c r="B310" i="20"/>
  <c r="A313" i="20"/>
  <c r="C305" i="3"/>
  <c r="D306" i="3" s="1"/>
  <c r="C310" i="20" l="1"/>
  <c r="D311" i="20" s="1"/>
  <c r="B311" i="20"/>
  <c r="A314" i="20"/>
  <c r="C306" i="3"/>
  <c r="D307" i="3" s="1"/>
  <c r="C311" i="20" l="1"/>
  <c r="D312" i="20" s="1"/>
  <c r="B312" i="20"/>
  <c r="A315" i="20"/>
  <c r="C307" i="3"/>
  <c r="D308" i="3" s="1"/>
  <c r="C312" i="20" l="1"/>
  <c r="D313" i="20" s="1"/>
  <c r="B313" i="20"/>
  <c r="A316" i="20"/>
  <c r="C308" i="3"/>
  <c r="D309" i="3" s="1"/>
  <c r="C313" i="20" l="1"/>
  <c r="D314" i="20" s="1"/>
  <c r="B314" i="20"/>
  <c r="A317" i="20"/>
  <c r="C309" i="3"/>
  <c r="D310" i="3" s="1"/>
  <c r="C314" i="20" l="1"/>
  <c r="D315" i="20" s="1"/>
  <c r="B315" i="20"/>
  <c r="A318" i="20"/>
  <c r="C310" i="3"/>
  <c r="D311" i="3" s="1"/>
  <c r="C315" i="20" l="1"/>
  <c r="D316" i="20" s="1"/>
  <c r="B316" i="20"/>
  <c r="A319" i="20"/>
  <c r="C311" i="3"/>
  <c r="D312" i="3" s="1"/>
  <c r="C316" i="20" l="1"/>
  <c r="D317" i="20" s="1"/>
  <c r="B317" i="20"/>
  <c r="A320" i="20"/>
  <c r="C312" i="3"/>
  <c r="D313" i="3" s="1"/>
  <c r="C317" i="20" l="1"/>
  <c r="D318" i="20" s="1"/>
  <c r="B318" i="20"/>
  <c r="A321" i="20"/>
  <c r="C313" i="3"/>
  <c r="D314" i="3" s="1"/>
  <c r="C318" i="20" l="1"/>
  <c r="D319" i="20" s="1"/>
  <c r="B319" i="20"/>
  <c r="A322" i="20"/>
  <c r="C314" i="3"/>
  <c r="D315" i="3" s="1"/>
  <c r="C319" i="20" l="1"/>
  <c r="D320" i="20" s="1"/>
  <c r="B320" i="20"/>
  <c r="A323" i="20"/>
  <c r="C315" i="3"/>
  <c r="D316" i="3" s="1"/>
  <c r="C320" i="20" l="1"/>
  <c r="D321" i="20" s="1"/>
  <c r="B321" i="20"/>
  <c r="A324" i="20"/>
  <c r="C316" i="3"/>
  <c r="D317" i="3" s="1"/>
  <c r="C321" i="20" l="1"/>
  <c r="D322" i="20" s="1"/>
  <c r="B322" i="20"/>
  <c r="A325" i="20"/>
  <c r="C317" i="3"/>
  <c r="D318" i="3" s="1"/>
  <c r="C322" i="20" l="1"/>
  <c r="D323" i="20" s="1"/>
  <c r="B323" i="20"/>
  <c r="A326" i="20"/>
  <c r="C318" i="3"/>
  <c r="D319" i="3" s="1"/>
  <c r="C323" i="20" l="1"/>
  <c r="D324" i="20" s="1"/>
  <c r="B324" i="20"/>
  <c r="A327" i="20"/>
  <c r="C319" i="3"/>
  <c r="D320" i="3" s="1"/>
  <c r="C324" i="20" l="1"/>
  <c r="D325" i="20" s="1"/>
  <c r="B325" i="20"/>
  <c r="A328" i="20"/>
  <c r="C320" i="3"/>
  <c r="D321" i="3" s="1"/>
  <c r="C325" i="20" l="1"/>
  <c r="D326" i="20" s="1"/>
  <c r="B326" i="20"/>
  <c r="A329" i="20"/>
  <c r="C321" i="3"/>
  <c r="D322" i="3" s="1"/>
  <c r="C326" i="20" l="1"/>
  <c r="D327" i="20" s="1"/>
  <c r="B327" i="20"/>
  <c r="A330" i="20"/>
  <c r="C322" i="3"/>
  <c r="D323" i="3" s="1"/>
  <c r="C327" i="20" l="1"/>
  <c r="D328" i="20" s="1"/>
  <c r="B328" i="20"/>
  <c r="A331" i="20"/>
  <c r="C323" i="3"/>
  <c r="D324" i="3" s="1"/>
  <c r="C328" i="20" l="1"/>
  <c r="D329" i="20" s="1"/>
  <c r="B329" i="20"/>
  <c r="A332" i="20"/>
  <c r="C324" i="3"/>
  <c r="D325" i="3" s="1"/>
  <c r="C329" i="20" l="1"/>
  <c r="D330" i="20" s="1"/>
  <c r="B330" i="20"/>
  <c r="A333" i="20"/>
  <c r="C325" i="3"/>
  <c r="D326" i="3" s="1"/>
  <c r="C330" i="20" l="1"/>
  <c r="D331" i="20" s="1"/>
  <c r="B331" i="20"/>
  <c r="A334" i="20"/>
  <c r="C326" i="3"/>
  <c r="D327" i="3" s="1"/>
  <c r="C331" i="20" l="1"/>
  <c r="D332" i="20" s="1"/>
  <c r="B332" i="20"/>
  <c r="A335" i="20"/>
  <c r="C327" i="3"/>
  <c r="D328" i="3" s="1"/>
  <c r="C332" i="20" l="1"/>
  <c r="D333" i="20" s="1"/>
  <c r="B333" i="20"/>
  <c r="A336" i="20"/>
  <c r="C328" i="3"/>
  <c r="D329" i="3" s="1"/>
  <c r="C333" i="20" l="1"/>
  <c r="D334" i="20" s="1"/>
  <c r="B334" i="20"/>
  <c r="A337" i="20"/>
  <c r="C329" i="3"/>
  <c r="D330" i="3" s="1"/>
  <c r="C334" i="20" l="1"/>
  <c r="D335" i="20" s="1"/>
  <c r="B335" i="20"/>
  <c r="A338" i="20"/>
  <c r="C330" i="3"/>
  <c r="D331" i="3" s="1"/>
  <c r="C335" i="20" l="1"/>
  <c r="D336" i="20" s="1"/>
  <c r="B336" i="20"/>
  <c r="A339" i="20"/>
  <c r="C331" i="3"/>
  <c r="D332" i="3" s="1"/>
  <c r="C336" i="20" l="1"/>
  <c r="D337" i="20" s="1"/>
  <c r="B337" i="20"/>
  <c r="A340" i="20"/>
  <c r="C332" i="3"/>
  <c r="D333" i="3" s="1"/>
  <c r="C337" i="20" l="1"/>
  <c r="D338" i="20" s="1"/>
  <c r="B338" i="20"/>
  <c r="A341" i="20"/>
  <c r="C333" i="3"/>
  <c r="D334" i="3" s="1"/>
  <c r="C338" i="20" l="1"/>
  <c r="D339" i="20" s="1"/>
  <c r="B339" i="20"/>
  <c r="A342" i="20"/>
  <c r="C334" i="3"/>
  <c r="D335" i="3" s="1"/>
  <c r="C339" i="20" l="1"/>
  <c r="D340" i="20" s="1"/>
  <c r="B340" i="20"/>
  <c r="A343" i="20"/>
  <c r="C335" i="3"/>
  <c r="D336" i="3" s="1"/>
  <c r="C340" i="20" l="1"/>
  <c r="D341" i="20" s="1"/>
  <c r="B341" i="20"/>
  <c r="A344" i="20"/>
  <c r="C336" i="3"/>
  <c r="D337" i="3" s="1"/>
  <c r="C341" i="20" l="1"/>
  <c r="D342" i="20" s="1"/>
  <c r="B342" i="20"/>
  <c r="A345" i="20"/>
  <c r="C337" i="3"/>
  <c r="D338" i="3" s="1"/>
  <c r="C342" i="20" l="1"/>
  <c r="D343" i="20" s="1"/>
  <c r="B343" i="20"/>
  <c r="A346" i="20"/>
  <c r="C338" i="3"/>
  <c r="D339" i="3" s="1"/>
  <c r="C343" i="20" l="1"/>
  <c r="D344" i="20" s="1"/>
  <c r="B344" i="20"/>
  <c r="A347" i="20"/>
  <c r="C339" i="3"/>
  <c r="D340" i="3" s="1"/>
  <c r="C344" i="20" l="1"/>
  <c r="D345" i="20" s="1"/>
  <c r="B345" i="20"/>
  <c r="A348" i="20"/>
  <c r="C340" i="3"/>
  <c r="D341" i="3" s="1"/>
  <c r="C345" i="20" l="1"/>
  <c r="D346" i="20" s="1"/>
  <c r="B346" i="20"/>
  <c r="A349" i="20"/>
  <c r="C341" i="3"/>
  <c r="D342" i="3" s="1"/>
  <c r="C346" i="20" l="1"/>
  <c r="D347" i="20" s="1"/>
  <c r="B347" i="20"/>
  <c r="A350" i="20"/>
  <c r="C342" i="3"/>
  <c r="D343" i="3" s="1"/>
  <c r="C347" i="20" l="1"/>
  <c r="D348" i="20" s="1"/>
  <c r="B348" i="20"/>
  <c r="A351" i="20"/>
  <c r="C343" i="3"/>
  <c r="D344" i="3" s="1"/>
  <c r="C348" i="20" l="1"/>
  <c r="D349" i="20" s="1"/>
  <c r="B349" i="20"/>
  <c r="A352" i="20"/>
  <c r="C344" i="3"/>
  <c r="D345" i="3" s="1"/>
  <c r="C349" i="20" l="1"/>
  <c r="D350" i="20" s="1"/>
  <c r="B350" i="20"/>
  <c r="A353" i="20"/>
  <c r="C345" i="3"/>
  <c r="D346" i="3" s="1"/>
  <c r="C350" i="20" l="1"/>
  <c r="D351" i="20" s="1"/>
  <c r="B351" i="20"/>
  <c r="A354" i="20"/>
  <c r="C346" i="3"/>
  <c r="D347" i="3" s="1"/>
  <c r="C351" i="20" l="1"/>
  <c r="D352" i="20" s="1"/>
  <c r="B352" i="20"/>
  <c r="A355" i="20"/>
  <c r="C347" i="3"/>
  <c r="D348" i="3" s="1"/>
  <c r="C352" i="20" l="1"/>
  <c r="D353" i="20" s="1"/>
  <c r="B353" i="20"/>
  <c r="A356" i="20"/>
  <c r="C348" i="3"/>
  <c r="D349" i="3" s="1"/>
  <c r="C353" i="20" l="1"/>
  <c r="D354" i="20" s="1"/>
  <c r="B354" i="20"/>
  <c r="A357" i="20"/>
  <c r="C349" i="3"/>
  <c r="D350" i="3" s="1"/>
  <c r="C354" i="20" l="1"/>
  <c r="D355" i="20" s="1"/>
  <c r="B355" i="20"/>
  <c r="A358" i="20"/>
  <c r="C350" i="3"/>
  <c r="D351" i="3" s="1"/>
  <c r="C355" i="20" l="1"/>
  <c r="D356" i="20" s="1"/>
  <c r="B356" i="20"/>
  <c r="A359" i="20"/>
  <c r="C351" i="3"/>
  <c r="D352" i="3" s="1"/>
  <c r="C356" i="20" l="1"/>
  <c r="D357" i="20" s="1"/>
  <c r="B357" i="20"/>
  <c r="A360" i="20"/>
  <c r="C352" i="3"/>
  <c r="D353" i="3" s="1"/>
  <c r="C357" i="20" l="1"/>
  <c r="D358" i="20" s="1"/>
  <c r="B358" i="20"/>
  <c r="A361" i="20"/>
  <c r="C353" i="3"/>
  <c r="D354" i="3" s="1"/>
  <c r="C358" i="20" l="1"/>
  <c r="D359" i="20" s="1"/>
  <c r="B359" i="20"/>
  <c r="A362" i="20"/>
  <c r="C354" i="3"/>
  <c r="D355" i="3" s="1"/>
  <c r="C359" i="20" l="1"/>
  <c r="D360" i="20" s="1"/>
  <c r="B360" i="20"/>
  <c r="A363" i="20"/>
  <c r="C355" i="3"/>
  <c r="D356" i="3" s="1"/>
  <c r="C360" i="20" l="1"/>
  <c r="D361" i="20" s="1"/>
  <c r="B361" i="20"/>
  <c r="A364" i="20"/>
  <c r="C356" i="3"/>
  <c r="D357" i="3" s="1"/>
  <c r="C361" i="20" l="1"/>
  <c r="D362" i="20" s="1"/>
  <c r="B362" i="20"/>
  <c r="A365" i="20"/>
  <c r="C357" i="3"/>
  <c r="D358" i="3" s="1"/>
  <c r="C362" i="20" l="1"/>
  <c r="D363" i="20" s="1"/>
  <c r="B363" i="20"/>
  <c r="A366" i="20"/>
  <c r="C358" i="3"/>
  <c r="D359" i="3" s="1"/>
  <c r="C363" i="20" l="1"/>
  <c r="D364" i="20" s="1"/>
  <c r="B364" i="20"/>
  <c r="A367" i="20"/>
  <c r="C359" i="3"/>
  <c r="D360" i="3" s="1"/>
  <c r="C364" i="20" l="1"/>
  <c r="D365" i="20" s="1"/>
  <c r="B365" i="20"/>
  <c r="A368" i="20"/>
  <c r="C360" i="3"/>
  <c r="D361" i="3" s="1"/>
  <c r="C365" i="20" l="1"/>
  <c r="D366" i="20" s="1"/>
  <c r="B366" i="20"/>
  <c r="A369" i="20"/>
  <c r="C361" i="3"/>
  <c r="D362" i="3" s="1"/>
  <c r="C366" i="20" l="1"/>
  <c r="D367" i="20" s="1"/>
  <c r="B367" i="20"/>
  <c r="A370" i="20"/>
  <c r="C362" i="3"/>
  <c r="D363" i="3" s="1"/>
  <c r="C367" i="20" l="1"/>
  <c r="D368" i="20" s="1"/>
  <c r="B368" i="20"/>
  <c r="A371" i="20"/>
  <c r="C363" i="3"/>
  <c r="D364" i="3" s="1"/>
  <c r="C368" i="20" l="1"/>
  <c r="D369" i="20" s="1"/>
  <c r="B369" i="20"/>
  <c r="A372" i="20"/>
  <c r="C364" i="3"/>
  <c r="D365" i="3" s="1"/>
  <c r="C369" i="20" l="1"/>
  <c r="D370" i="20" s="1"/>
  <c r="B370" i="20"/>
  <c r="A373" i="20"/>
  <c r="C365" i="3"/>
  <c r="D366" i="3" s="1"/>
  <c r="C370" i="20" l="1"/>
  <c r="D371" i="20" s="1"/>
  <c r="B371" i="20"/>
  <c r="A374" i="20"/>
  <c r="C366" i="3"/>
  <c r="D367" i="3" s="1"/>
  <c r="C371" i="20" l="1"/>
  <c r="D372" i="20" s="1"/>
  <c r="B372" i="20"/>
  <c r="A375" i="20"/>
  <c r="C367" i="3"/>
  <c r="D368" i="3" s="1"/>
  <c r="C372" i="20" l="1"/>
  <c r="D373" i="20" s="1"/>
  <c r="B373" i="20"/>
  <c r="A376" i="20"/>
  <c r="C368" i="3"/>
  <c r="D369" i="3" s="1"/>
  <c r="C373" i="20" l="1"/>
  <c r="D374" i="20" s="1"/>
  <c r="B374" i="20"/>
  <c r="A377" i="20"/>
  <c r="C369" i="3"/>
  <c r="D370" i="3" s="1"/>
  <c r="C374" i="20" l="1"/>
  <c r="D375" i="20" s="1"/>
  <c r="B375" i="20"/>
  <c r="A378" i="20"/>
  <c r="C370" i="3"/>
  <c r="D371" i="3" s="1"/>
  <c r="C375" i="20" l="1"/>
  <c r="D376" i="20" s="1"/>
  <c r="B376" i="20"/>
  <c r="A379" i="20"/>
  <c r="C371" i="3"/>
  <c r="D372" i="3" s="1"/>
  <c r="C376" i="20" l="1"/>
  <c r="D377" i="20" s="1"/>
  <c r="B377" i="20"/>
  <c r="A380" i="20"/>
  <c r="C372" i="3"/>
  <c r="D373" i="3" s="1"/>
  <c r="C377" i="20" l="1"/>
  <c r="D378" i="20" s="1"/>
  <c r="B378" i="20"/>
  <c r="A381" i="20"/>
  <c r="C373" i="3"/>
  <c r="D374" i="3" s="1"/>
  <c r="C378" i="20" l="1"/>
  <c r="D379" i="20" s="1"/>
  <c r="B379" i="20"/>
  <c r="A382" i="20"/>
  <c r="C374" i="3"/>
  <c r="D375" i="3" s="1"/>
  <c r="C379" i="20" l="1"/>
  <c r="D380" i="20" s="1"/>
  <c r="B380" i="20"/>
  <c r="A383" i="20"/>
  <c r="C375" i="3"/>
  <c r="D376" i="3" s="1"/>
  <c r="C380" i="20" l="1"/>
  <c r="D381" i="20" s="1"/>
  <c r="B381" i="20"/>
  <c r="A384" i="20"/>
  <c r="C376" i="3"/>
  <c r="D377" i="3" s="1"/>
  <c r="C381" i="20" l="1"/>
  <c r="D382" i="20" s="1"/>
  <c r="B382" i="20"/>
  <c r="A385" i="20"/>
  <c r="C377" i="3"/>
  <c r="D378" i="3" s="1"/>
  <c r="C382" i="20" l="1"/>
  <c r="D383" i="20" s="1"/>
  <c r="B383" i="20"/>
  <c r="A386" i="20"/>
  <c r="C378" i="3"/>
  <c r="D379" i="3" s="1"/>
  <c r="C383" i="20" l="1"/>
  <c r="D384" i="20" s="1"/>
  <c r="B384" i="20"/>
  <c r="A387" i="20"/>
  <c r="C379" i="3"/>
  <c r="D380" i="3" s="1"/>
  <c r="C384" i="20" l="1"/>
  <c r="D385" i="20" s="1"/>
  <c r="B385" i="20"/>
  <c r="A388" i="20"/>
  <c r="C380" i="3"/>
  <c r="D381" i="3" s="1"/>
  <c r="C385" i="20" l="1"/>
  <c r="D386" i="20" s="1"/>
  <c r="B386" i="20"/>
  <c r="A389" i="20"/>
  <c r="C381" i="3"/>
  <c r="D382" i="3" s="1"/>
  <c r="C386" i="20" l="1"/>
  <c r="D387" i="20" s="1"/>
  <c r="B387" i="20"/>
  <c r="A390" i="20"/>
  <c r="C382" i="3"/>
  <c r="D383" i="3" s="1"/>
  <c r="C387" i="20" l="1"/>
  <c r="D388" i="20" s="1"/>
  <c r="B388" i="20"/>
  <c r="A391" i="20"/>
  <c r="C383" i="3"/>
  <c r="D384" i="3" s="1"/>
  <c r="C388" i="20" l="1"/>
  <c r="D389" i="20" s="1"/>
  <c r="B389" i="20"/>
  <c r="A392" i="20"/>
  <c r="C384" i="3"/>
  <c r="D385" i="3" s="1"/>
  <c r="C389" i="20" l="1"/>
  <c r="D390" i="20" s="1"/>
  <c r="B390" i="20"/>
  <c r="A393" i="20"/>
  <c r="C385" i="3"/>
  <c r="D386" i="3" s="1"/>
  <c r="C390" i="20" l="1"/>
  <c r="D391" i="20" s="1"/>
  <c r="B391" i="20"/>
  <c r="A394" i="20"/>
  <c r="C386" i="3"/>
  <c r="D387" i="3" s="1"/>
  <c r="C391" i="20" l="1"/>
  <c r="D392" i="20" s="1"/>
  <c r="B392" i="20"/>
  <c r="A395" i="20"/>
  <c r="C387" i="3"/>
  <c r="D388" i="3" s="1"/>
  <c r="C392" i="20" l="1"/>
  <c r="D393" i="20" s="1"/>
  <c r="B393" i="20"/>
  <c r="A396" i="20"/>
  <c r="C388" i="3"/>
  <c r="D389" i="3" s="1"/>
  <c r="C393" i="20" l="1"/>
  <c r="D394" i="20" s="1"/>
  <c r="B394" i="20"/>
  <c r="A397" i="20"/>
  <c r="C389" i="3"/>
  <c r="D390" i="3" s="1"/>
  <c r="C394" i="20" l="1"/>
  <c r="D395" i="20" s="1"/>
  <c r="B395" i="20"/>
  <c r="A398" i="20"/>
  <c r="C390" i="3"/>
  <c r="D391" i="3" s="1"/>
  <c r="C395" i="20" l="1"/>
  <c r="D396" i="20" s="1"/>
  <c r="B396" i="20"/>
  <c r="A399" i="20"/>
  <c r="C391" i="3"/>
  <c r="D392" i="3" s="1"/>
  <c r="C396" i="20" l="1"/>
  <c r="D397" i="20" s="1"/>
  <c r="B397" i="20"/>
  <c r="A400" i="20"/>
  <c r="C392" i="3"/>
  <c r="D393" i="3" s="1"/>
  <c r="C397" i="20" l="1"/>
  <c r="D398" i="20" s="1"/>
  <c r="B398" i="20"/>
  <c r="A401" i="20"/>
  <c r="C393" i="3"/>
  <c r="D394" i="3" s="1"/>
  <c r="C398" i="20" l="1"/>
  <c r="D399" i="20" s="1"/>
  <c r="B399" i="20"/>
  <c r="A402" i="20"/>
  <c r="C394" i="3"/>
  <c r="D395" i="3" s="1"/>
  <c r="C399" i="20" l="1"/>
  <c r="D400" i="20" s="1"/>
  <c r="B400" i="20"/>
  <c r="A403" i="20"/>
  <c r="C395" i="3"/>
  <c r="D396" i="3" s="1"/>
  <c r="C400" i="20" l="1"/>
  <c r="D401" i="20" s="1"/>
  <c r="B401" i="20"/>
  <c r="A404" i="20"/>
  <c r="C396" i="3"/>
  <c r="D397" i="3" s="1"/>
  <c r="C401" i="20" l="1"/>
  <c r="D402" i="20" s="1"/>
  <c r="B402" i="20"/>
  <c r="A405" i="20"/>
  <c r="C397" i="3"/>
  <c r="D398" i="3" s="1"/>
  <c r="C402" i="20" l="1"/>
  <c r="D403" i="20" s="1"/>
  <c r="B403" i="20"/>
  <c r="A406" i="20"/>
  <c r="C398" i="3"/>
  <c r="D399" i="3" s="1"/>
  <c r="C403" i="20" l="1"/>
  <c r="D404" i="20" s="1"/>
  <c r="B404" i="20"/>
  <c r="A407" i="20"/>
  <c r="C399" i="3"/>
  <c r="D400" i="3" s="1"/>
  <c r="C404" i="20" l="1"/>
  <c r="D405" i="20" s="1"/>
  <c r="B405" i="20"/>
  <c r="A408" i="20"/>
  <c r="C400" i="3"/>
  <c r="D401" i="3" s="1"/>
  <c r="C405" i="20" l="1"/>
  <c r="D406" i="20" s="1"/>
  <c r="B406" i="20"/>
  <c r="A409" i="20"/>
  <c r="C401" i="3"/>
  <c r="D402" i="3" s="1"/>
  <c r="C406" i="20" l="1"/>
  <c r="D407" i="20" s="1"/>
  <c r="B407" i="20"/>
  <c r="A410" i="20"/>
  <c r="C402" i="3"/>
  <c r="D403" i="3" s="1"/>
  <c r="C407" i="20" l="1"/>
  <c r="D408" i="20" s="1"/>
  <c r="B408" i="20"/>
  <c r="A411" i="20"/>
  <c r="C403" i="3"/>
  <c r="D404" i="3" s="1"/>
  <c r="C408" i="20" l="1"/>
  <c r="D409" i="20" s="1"/>
  <c r="B409" i="20"/>
  <c r="A412" i="20"/>
  <c r="C404" i="3"/>
  <c r="D405" i="3" s="1"/>
  <c r="C409" i="20" l="1"/>
  <c r="D410" i="20" s="1"/>
  <c r="B410" i="20"/>
  <c r="A413" i="20"/>
  <c r="C405" i="3"/>
  <c r="D406" i="3" s="1"/>
  <c r="C410" i="20" l="1"/>
  <c r="D411" i="20" s="1"/>
  <c r="B411" i="20"/>
  <c r="A414" i="20"/>
  <c r="C406" i="3"/>
  <c r="D407" i="3" s="1"/>
  <c r="C411" i="20" l="1"/>
  <c r="D412" i="20" s="1"/>
  <c r="B412" i="20"/>
  <c r="A415" i="20"/>
  <c r="C407" i="3"/>
  <c r="D408" i="3" s="1"/>
  <c r="C412" i="20" l="1"/>
  <c r="D413" i="20" s="1"/>
  <c r="B413" i="20"/>
  <c r="A416" i="20"/>
  <c r="C408" i="3"/>
  <c r="D409" i="3" s="1"/>
  <c r="C413" i="20" l="1"/>
  <c r="D414" i="20" s="1"/>
  <c r="B414" i="20"/>
  <c r="A417" i="20"/>
  <c r="C409" i="3"/>
  <c r="D410" i="3" s="1"/>
  <c r="C414" i="20" l="1"/>
  <c r="D415" i="20" s="1"/>
  <c r="B415" i="20"/>
  <c r="A418" i="20"/>
  <c r="C410" i="3"/>
  <c r="D411" i="3" s="1"/>
  <c r="C415" i="20" l="1"/>
  <c r="D416" i="20" s="1"/>
  <c r="B416" i="20"/>
  <c r="A419" i="20"/>
  <c r="C411" i="3"/>
  <c r="D412" i="3" s="1"/>
  <c r="C416" i="20" l="1"/>
  <c r="D417" i="20" s="1"/>
  <c r="B417" i="20"/>
  <c r="A420" i="20"/>
  <c r="C412" i="3"/>
  <c r="D413" i="3" s="1"/>
  <c r="C417" i="20" l="1"/>
  <c r="D418" i="20" s="1"/>
  <c r="B418" i="20"/>
  <c r="A421" i="20"/>
  <c r="C413" i="3"/>
  <c r="D414" i="3" s="1"/>
  <c r="C418" i="20" l="1"/>
  <c r="D419" i="20" s="1"/>
  <c r="B419" i="20"/>
  <c r="A422" i="20"/>
  <c r="C414" i="3"/>
  <c r="D415" i="3" s="1"/>
  <c r="C419" i="20" l="1"/>
  <c r="D420" i="20" s="1"/>
  <c r="B420" i="20"/>
  <c r="A423" i="20"/>
  <c r="C415" i="3"/>
  <c r="D416" i="3" s="1"/>
  <c r="C420" i="20" l="1"/>
  <c r="D421" i="20" s="1"/>
  <c r="B421" i="20"/>
  <c r="A424" i="20"/>
  <c r="C416" i="3"/>
  <c r="D417" i="3" s="1"/>
  <c r="C421" i="20" l="1"/>
  <c r="D422" i="20" s="1"/>
  <c r="B422" i="20"/>
  <c r="A425" i="20"/>
  <c r="C417" i="3"/>
  <c r="D418" i="3" s="1"/>
  <c r="C422" i="20" l="1"/>
  <c r="D423" i="20" s="1"/>
  <c r="B423" i="20"/>
  <c r="A426" i="20"/>
  <c r="C418" i="3"/>
  <c r="D419" i="3" s="1"/>
  <c r="C423" i="20" l="1"/>
  <c r="D424" i="20" s="1"/>
  <c r="B424" i="20"/>
  <c r="A427" i="20"/>
  <c r="C419" i="3"/>
  <c r="D420" i="3" s="1"/>
  <c r="C424" i="20" l="1"/>
  <c r="D425" i="20" s="1"/>
  <c r="B425" i="20"/>
  <c r="A428" i="20"/>
  <c r="C420" i="3"/>
  <c r="D421" i="3" s="1"/>
  <c r="C425" i="20" l="1"/>
  <c r="D426" i="20" s="1"/>
  <c r="B426" i="20"/>
  <c r="A429" i="20"/>
  <c r="C421" i="3"/>
  <c r="D422" i="3" s="1"/>
  <c r="C426" i="20" l="1"/>
  <c r="D427" i="20" s="1"/>
  <c r="B427" i="20"/>
  <c r="A430" i="20"/>
  <c r="C422" i="3"/>
  <c r="D423" i="3" s="1"/>
  <c r="C427" i="20" l="1"/>
  <c r="D428" i="20" s="1"/>
  <c r="B428" i="20"/>
  <c r="A431" i="20"/>
  <c r="C423" i="3"/>
  <c r="D424" i="3" s="1"/>
  <c r="C428" i="20" l="1"/>
  <c r="D429" i="20" s="1"/>
  <c r="B429" i="20"/>
  <c r="A432" i="20"/>
  <c r="C424" i="3"/>
  <c r="D425" i="3" s="1"/>
  <c r="C429" i="20" l="1"/>
  <c r="D430" i="20" s="1"/>
  <c r="B430" i="20"/>
  <c r="A433" i="20"/>
  <c r="C425" i="3"/>
  <c r="D426" i="3" s="1"/>
  <c r="C430" i="20" l="1"/>
  <c r="D431" i="20" s="1"/>
  <c r="B431" i="20"/>
  <c r="A434" i="20"/>
  <c r="C426" i="3"/>
  <c r="D427" i="3" s="1"/>
  <c r="C431" i="20" l="1"/>
  <c r="D432" i="20" s="1"/>
  <c r="B432" i="20"/>
  <c r="A435" i="20"/>
  <c r="C427" i="3"/>
  <c r="D428" i="3" s="1"/>
  <c r="C432" i="20" l="1"/>
  <c r="D433" i="20" s="1"/>
  <c r="B433" i="20"/>
  <c r="A436" i="20"/>
  <c r="C428" i="3"/>
  <c r="D429" i="3" s="1"/>
  <c r="C433" i="20" l="1"/>
  <c r="D434" i="20" s="1"/>
  <c r="B434" i="20"/>
  <c r="A437" i="20"/>
  <c r="C429" i="3"/>
  <c r="D430" i="3" s="1"/>
  <c r="C434" i="20" l="1"/>
  <c r="D435" i="20" s="1"/>
  <c r="B435" i="20"/>
  <c r="A438" i="20"/>
  <c r="C430" i="3"/>
  <c r="D431" i="3" s="1"/>
  <c r="C435" i="20" l="1"/>
  <c r="D436" i="20" s="1"/>
  <c r="B436" i="20"/>
  <c r="A439" i="20"/>
  <c r="C431" i="3"/>
  <c r="D432" i="3" s="1"/>
  <c r="C436" i="20" l="1"/>
  <c r="D437" i="20" s="1"/>
  <c r="B437" i="20"/>
  <c r="A440" i="20"/>
  <c r="C432" i="3"/>
  <c r="D433" i="3" s="1"/>
  <c r="C437" i="20" l="1"/>
  <c r="D438" i="20" s="1"/>
  <c r="B438" i="20"/>
  <c r="A441" i="20"/>
  <c r="C433" i="3"/>
  <c r="D434" i="3" s="1"/>
  <c r="C438" i="20" l="1"/>
  <c r="D439" i="20" s="1"/>
  <c r="B439" i="20"/>
  <c r="A442" i="20"/>
  <c r="C434" i="3"/>
  <c r="D435" i="3" s="1"/>
  <c r="C439" i="20" l="1"/>
  <c r="D440" i="20" s="1"/>
  <c r="B440" i="20"/>
  <c r="A443" i="20"/>
  <c r="C435" i="3"/>
  <c r="D436" i="3" s="1"/>
  <c r="C440" i="20" l="1"/>
  <c r="D441" i="20" s="1"/>
  <c r="B441" i="20"/>
  <c r="A444" i="20"/>
  <c r="C436" i="3"/>
  <c r="D437" i="3" s="1"/>
  <c r="C441" i="20" l="1"/>
  <c r="D442" i="20" s="1"/>
  <c r="B442" i="20"/>
  <c r="A445" i="20"/>
  <c r="C437" i="3"/>
  <c r="D438" i="3" s="1"/>
  <c r="C442" i="20" l="1"/>
  <c r="D443" i="20" s="1"/>
  <c r="B443" i="20"/>
  <c r="A446" i="20"/>
  <c r="C438" i="3"/>
  <c r="D439" i="3" s="1"/>
  <c r="C443" i="20" l="1"/>
  <c r="D444" i="20" s="1"/>
  <c r="B444" i="20"/>
  <c r="A447" i="20"/>
  <c r="C439" i="3"/>
  <c r="D440" i="3" s="1"/>
  <c r="C444" i="20" l="1"/>
  <c r="D445" i="20" s="1"/>
  <c r="B445" i="20"/>
  <c r="A448" i="20"/>
  <c r="C440" i="3"/>
  <c r="D441" i="3" s="1"/>
  <c r="C445" i="20" l="1"/>
  <c r="D446" i="20" s="1"/>
  <c r="B446" i="20"/>
  <c r="A449" i="20"/>
  <c r="C441" i="3"/>
  <c r="D442" i="3" s="1"/>
  <c r="C446" i="20" l="1"/>
  <c r="D447" i="20" s="1"/>
  <c r="B447" i="20"/>
  <c r="A450" i="20"/>
  <c r="C442" i="3"/>
  <c r="D443" i="3" s="1"/>
  <c r="C447" i="20" l="1"/>
  <c r="D448" i="20" s="1"/>
  <c r="B448" i="20"/>
  <c r="A451" i="20"/>
  <c r="C443" i="3"/>
  <c r="D444" i="3" s="1"/>
  <c r="C448" i="20" l="1"/>
  <c r="D449" i="20" s="1"/>
  <c r="B449" i="20"/>
  <c r="A452" i="20"/>
  <c r="C444" i="3"/>
  <c r="D445" i="3" s="1"/>
  <c r="C449" i="20" l="1"/>
  <c r="D450" i="20" s="1"/>
  <c r="B450" i="20"/>
  <c r="A453" i="20"/>
  <c r="C445" i="3"/>
  <c r="D446" i="3" s="1"/>
  <c r="C450" i="20" l="1"/>
  <c r="D451" i="20" s="1"/>
  <c r="B451" i="20"/>
  <c r="A454" i="20"/>
  <c r="C446" i="3"/>
  <c r="D447" i="3" s="1"/>
  <c r="C451" i="20" l="1"/>
  <c r="D452" i="20" s="1"/>
  <c r="B452" i="20"/>
  <c r="A455" i="20"/>
  <c r="C447" i="3"/>
  <c r="D448" i="3" s="1"/>
  <c r="C452" i="20" l="1"/>
  <c r="D453" i="20" s="1"/>
  <c r="B453" i="20"/>
  <c r="A456" i="20"/>
  <c r="C448" i="3"/>
  <c r="D449" i="3" s="1"/>
  <c r="C453" i="20" l="1"/>
  <c r="D454" i="20" s="1"/>
  <c r="B454" i="20"/>
  <c r="A457" i="20"/>
  <c r="C449" i="3"/>
  <c r="D450" i="3" s="1"/>
  <c r="C454" i="20" l="1"/>
  <c r="D455" i="20" s="1"/>
  <c r="B455" i="20"/>
  <c r="A458" i="20"/>
  <c r="C450" i="3"/>
  <c r="D451" i="3" s="1"/>
  <c r="C455" i="20" l="1"/>
  <c r="D456" i="20" s="1"/>
  <c r="B456" i="20"/>
  <c r="A459" i="20"/>
  <c r="C451" i="3"/>
  <c r="D452" i="3" s="1"/>
  <c r="C456" i="20" l="1"/>
  <c r="D457" i="20" s="1"/>
  <c r="B457" i="20"/>
  <c r="A460" i="20"/>
  <c r="C452" i="3"/>
  <c r="D453" i="3" s="1"/>
  <c r="C457" i="20" l="1"/>
  <c r="D458" i="20" s="1"/>
  <c r="B458" i="20"/>
  <c r="A461" i="20"/>
  <c r="C453" i="3"/>
  <c r="D454" i="3" s="1"/>
  <c r="C458" i="20" l="1"/>
  <c r="D459" i="20" s="1"/>
  <c r="B459" i="20"/>
  <c r="A462" i="20"/>
  <c r="C454" i="3"/>
  <c r="D455" i="3" s="1"/>
  <c r="C459" i="20" l="1"/>
  <c r="D460" i="20" s="1"/>
  <c r="B460" i="20"/>
  <c r="A463" i="20"/>
  <c r="C455" i="3"/>
  <c r="D456" i="3" s="1"/>
  <c r="C460" i="20" l="1"/>
  <c r="D461" i="20" s="1"/>
  <c r="B461" i="20"/>
  <c r="A464" i="20"/>
  <c r="C456" i="3"/>
  <c r="D457" i="3" s="1"/>
  <c r="C461" i="20" l="1"/>
  <c r="D462" i="20" s="1"/>
  <c r="B462" i="20"/>
  <c r="A465" i="20"/>
  <c r="C457" i="3"/>
  <c r="D458" i="3" s="1"/>
  <c r="C462" i="20" l="1"/>
  <c r="D463" i="20" s="1"/>
  <c r="B463" i="20"/>
  <c r="A466" i="20"/>
  <c r="C458" i="3"/>
  <c r="D459" i="3" s="1"/>
  <c r="C463" i="20" l="1"/>
  <c r="D464" i="20" s="1"/>
  <c r="B464" i="20"/>
  <c r="A467" i="20"/>
  <c r="C459" i="3"/>
  <c r="D460" i="3" s="1"/>
  <c r="C464" i="20" l="1"/>
  <c r="D465" i="20" s="1"/>
  <c r="B465" i="20"/>
  <c r="A468" i="20"/>
  <c r="C460" i="3"/>
  <c r="D461" i="3" s="1"/>
  <c r="C465" i="20" l="1"/>
  <c r="D466" i="20" s="1"/>
  <c r="B466" i="20"/>
  <c r="A469" i="20"/>
  <c r="C461" i="3"/>
  <c r="D462" i="3" s="1"/>
  <c r="C466" i="20" l="1"/>
  <c r="D467" i="20" s="1"/>
  <c r="B467" i="20"/>
  <c r="A470" i="20"/>
  <c r="C462" i="3"/>
  <c r="D463" i="3" s="1"/>
  <c r="C467" i="20" l="1"/>
  <c r="D468" i="20" s="1"/>
  <c r="B468" i="20"/>
  <c r="A471" i="20"/>
  <c r="C463" i="3"/>
  <c r="D464" i="3" s="1"/>
  <c r="C468" i="20" l="1"/>
  <c r="D469" i="20" s="1"/>
  <c r="B469" i="20"/>
  <c r="A472" i="20"/>
  <c r="C464" i="3"/>
  <c r="D465" i="3" s="1"/>
  <c r="C469" i="20" l="1"/>
  <c r="D470" i="20" s="1"/>
  <c r="B470" i="20"/>
  <c r="A473" i="20"/>
  <c r="C465" i="3"/>
  <c r="D466" i="3" s="1"/>
  <c r="C470" i="20" l="1"/>
  <c r="D471" i="20" s="1"/>
  <c r="B471" i="20"/>
  <c r="A474" i="20"/>
  <c r="C466" i="3"/>
  <c r="D467" i="3" s="1"/>
  <c r="C471" i="20" l="1"/>
  <c r="D472" i="20" s="1"/>
  <c r="B472" i="20"/>
  <c r="A475" i="20"/>
  <c r="C467" i="3"/>
  <c r="D468" i="3" s="1"/>
  <c r="C472" i="20" l="1"/>
  <c r="D473" i="20" s="1"/>
  <c r="B473" i="20"/>
  <c r="A476" i="20"/>
  <c r="C468" i="3"/>
  <c r="D469" i="3" s="1"/>
  <c r="C473" i="20" l="1"/>
  <c r="D474" i="20" s="1"/>
  <c r="B474" i="20"/>
  <c r="A477" i="20"/>
  <c r="C469" i="3"/>
  <c r="D470" i="3" s="1"/>
  <c r="C474" i="20" l="1"/>
  <c r="D475" i="20" s="1"/>
  <c r="B475" i="20"/>
  <c r="A478" i="20"/>
  <c r="C470" i="3"/>
  <c r="D471" i="3" s="1"/>
  <c r="C475" i="20" l="1"/>
  <c r="D476" i="20" s="1"/>
  <c r="B476" i="20"/>
  <c r="A479" i="20"/>
  <c r="C471" i="3"/>
  <c r="D472" i="3" s="1"/>
  <c r="C476" i="20" l="1"/>
  <c r="D477" i="20" s="1"/>
  <c r="B477" i="20"/>
  <c r="A480" i="20"/>
  <c r="C472" i="3"/>
  <c r="D473" i="3" s="1"/>
  <c r="C477" i="20" l="1"/>
  <c r="D478" i="20" s="1"/>
  <c r="B478" i="20"/>
  <c r="A481" i="20"/>
  <c r="C473" i="3"/>
  <c r="D474" i="3" s="1"/>
  <c r="C478" i="20" l="1"/>
  <c r="D479" i="20" s="1"/>
  <c r="B479" i="20"/>
  <c r="A482" i="20"/>
  <c r="C474" i="3"/>
  <c r="D475" i="3" s="1"/>
  <c r="C479" i="20" l="1"/>
  <c r="D480" i="20" s="1"/>
  <c r="B480" i="20"/>
  <c r="A483" i="20"/>
  <c r="C475" i="3"/>
  <c r="D476" i="3" s="1"/>
  <c r="C480" i="20" l="1"/>
  <c r="D481" i="20" s="1"/>
  <c r="B481" i="20"/>
  <c r="A484" i="20"/>
  <c r="C476" i="3"/>
  <c r="D477" i="3" s="1"/>
  <c r="C481" i="20" l="1"/>
  <c r="D482" i="20" s="1"/>
  <c r="B482" i="20"/>
  <c r="A485" i="20"/>
  <c r="C477" i="3"/>
  <c r="D478" i="3" s="1"/>
  <c r="C482" i="20" l="1"/>
  <c r="D483" i="20" s="1"/>
  <c r="B483" i="20"/>
  <c r="A486" i="20"/>
  <c r="C478" i="3"/>
  <c r="D479" i="3" s="1"/>
  <c r="C483" i="20" l="1"/>
  <c r="D484" i="20" s="1"/>
  <c r="B484" i="20"/>
  <c r="A487" i="20"/>
  <c r="C479" i="3"/>
  <c r="D480" i="3" s="1"/>
  <c r="C484" i="20" l="1"/>
  <c r="D485" i="20" s="1"/>
  <c r="B485" i="20"/>
  <c r="A488" i="20"/>
  <c r="C480" i="3"/>
  <c r="D481" i="3" s="1"/>
  <c r="C485" i="20" l="1"/>
  <c r="D486" i="20" s="1"/>
  <c r="B486" i="20"/>
  <c r="A489" i="20"/>
  <c r="C481" i="3"/>
  <c r="D482" i="3" s="1"/>
  <c r="C486" i="20" l="1"/>
  <c r="D487" i="20" s="1"/>
  <c r="B487" i="20"/>
  <c r="A490" i="20"/>
  <c r="C482" i="3"/>
  <c r="D483" i="3" s="1"/>
  <c r="C487" i="20" l="1"/>
  <c r="D488" i="20" s="1"/>
  <c r="B488" i="20"/>
  <c r="A491" i="20"/>
  <c r="C483" i="3"/>
  <c r="D484" i="3" s="1"/>
  <c r="C488" i="20" l="1"/>
  <c r="D489" i="20" s="1"/>
  <c r="B489" i="20"/>
  <c r="A492" i="20"/>
  <c r="C484" i="3"/>
  <c r="D485" i="3" s="1"/>
  <c r="C489" i="20" l="1"/>
  <c r="D490" i="20" s="1"/>
  <c r="B490" i="20"/>
  <c r="A493" i="20"/>
  <c r="C485" i="3"/>
  <c r="D486" i="3" s="1"/>
  <c r="C490" i="20" l="1"/>
  <c r="D491" i="20" s="1"/>
  <c r="B491" i="20"/>
  <c r="A494" i="20"/>
  <c r="C486" i="3"/>
  <c r="D487" i="3" s="1"/>
  <c r="C491" i="20" l="1"/>
  <c r="D492" i="20" s="1"/>
  <c r="B492" i="20"/>
  <c r="A495" i="20"/>
  <c r="C487" i="3"/>
  <c r="D488" i="3" s="1"/>
  <c r="C492" i="20" l="1"/>
  <c r="D493" i="20" s="1"/>
  <c r="B493" i="20"/>
  <c r="A496" i="20"/>
  <c r="C488" i="3"/>
  <c r="D489" i="3" s="1"/>
  <c r="C493" i="20" l="1"/>
  <c r="D494" i="20" s="1"/>
  <c r="B494" i="20"/>
  <c r="A497" i="20"/>
  <c r="C489" i="3"/>
  <c r="D490" i="3" s="1"/>
  <c r="C494" i="20" l="1"/>
  <c r="D495" i="20" s="1"/>
  <c r="B495" i="20"/>
  <c r="A498" i="20"/>
  <c r="C490" i="3"/>
  <c r="D491" i="3" s="1"/>
  <c r="C495" i="20" l="1"/>
  <c r="D496" i="20" s="1"/>
  <c r="B496" i="20"/>
  <c r="A499" i="20"/>
  <c r="C491" i="3"/>
  <c r="D492" i="3" s="1"/>
  <c r="C496" i="20" l="1"/>
  <c r="D497" i="20" s="1"/>
  <c r="B497" i="20"/>
  <c r="A500" i="20"/>
  <c r="C492" i="3"/>
  <c r="D493" i="3" s="1"/>
  <c r="C497" i="20" l="1"/>
  <c r="D498" i="20" s="1"/>
  <c r="B498" i="20"/>
  <c r="A501" i="20"/>
  <c r="C493" i="3"/>
  <c r="D494" i="3" s="1"/>
  <c r="C498" i="20" l="1"/>
  <c r="D499" i="20" s="1"/>
  <c r="B499" i="20"/>
  <c r="A502" i="20"/>
  <c r="C494" i="3"/>
  <c r="D495" i="3" s="1"/>
  <c r="C499" i="20" l="1"/>
  <c r="D500" i="20" s="1"/>
  <c r="B500" i="20"/>
  <c r="A503" i="20"/>
  <c r="C495" i="3"/>
  <c r="D496" i="3" s="1"/>
  <c r="C500" i="20" l="1"/>
  <c r="D501" i="20" s="1"/>
  <c r="B501" i="20"/>
  <c r="A504" i="20"/>
  <c r="C496" i="3"/>
  <c r="D497" i="3" s="1"/>
  <c r="C501" i="20" l="1"/>
  <c r="D502" i="20" s="1"/>
  <c r="B502" i="20"/>
  <c r="A505" i="20"/>
  <c r="C497" i="3"/>
  <c r="D498" i="3" s="1"/>
  <c r="C502" i="20" l="1"/>
  <c r="D503" i="20" s="1"/>
  <c r="B503" i="20"/>
  <c r="A506" i="20"/>
  <c r="C498" i="3"/>
  <c r="D499" i="3" s="1"/>
  <c r="C503" i="20" l="1"/>
  <c r="D504" i="20" s="1"/>
  <c r="B504" i="20"/>
  <c r="A507" i="20"/>
  <c r="C499" i="3"/>
  <c r="D500" i="3" s="1"/>
  <c r="C504" i="20" l="1"/>
  <c r="D505" i="20" s="1"/>
  <c r="B505" i="20"/>
  <c r="A508" i="20"/>
  <c r="C500" i="3"/>
  <c r="D501" i="3" s="1"/>
  <c r="C505" i="20" l="1"/>
  <c r="D506" i="20" s="1"/>
  <c r="B506" i="20"/>
  <c r="A509" i="20"/>
  <c r="C501" i="3"/>
  <c r="D502" i="3" s="1"/>
  <c r="C506" i="20" l="1"/>
  <c r="D507" i="20" s="1"/>
  <c r="B507" i="20"/>
  <c r="A510" i="20"/>
  <c r="C502" i="3"/>
  <c r="D503" i="3" s="1"/>
  <c r="C507" i="20" l="1"/>
  <c r="D508" i="20" s="1"/>
  <c r="B508" i="20"/>
  <c r="A511" i="20"/>
  <c r="C503" i="3"/>
  <c r="D504" i="3" s="1"/>
  <c r="C508" i="20" l="1"/>
  <c r="D509" i="20" s="1"/>
  <c r="B509" i="20"/>
  <c r="A512" i="20"/>
  <c r="C504" i="3"/>
  <c r="D505" i="3" s="1"/>
  <c r="C509" i="20" l="1"/>
  <c r="D510" i="20" s="1"/>
  <c r="B510" i="20"/>
  <c r="A513" i="20"/>
  <c r="C505" i="3"/>
  <c r="D506" i="3" s="1"/>
  <c r="C510" i="20" l="1"/>
  <c r="D511" i="20" s="1"/>
  <c r="B511" i="20"/>
  <c r="A514" i="20"/>
  <c r="C506" i="3"/>
  <c r="D507" i="3" s="1"/>
  <c r="C511" i="20" l="1"/>
  <c r="D512" i="20" s="1"/>
  <c r="B512" i="20"/>
  <c r="A515" i="20"/>
  <c r="C507" i="3"/>
  <c r="D508" i="3" s="1"/>
  <c r="C512" i="20" l="1"/>
  <c r="D513" i="20" s="1"/>
  <c r="B513" i="20"/>
  <c r="A516" i="20"/>
  <c r="C508" i="3"/>
  <c r="D509" i="3" s="1"/>
  <c r="C513" i="20" l="1"/>
  <c r="D514" i="20" s="1"/>
  <c r="B514" i="20"/>
  <c r="A517" i="20"/>
  <c r="C509" i="3"/>
  <c r="D510" i="3" s="1"/>
  <c r="C514" i="20" l="1"/>
  <c r="D515" i="20" s="1"/>
  <c r="B515" i="20"/>
  <c r="A518" i="20"/>
  <c r="C510" i="3"/>
  <c r="D511" i="3" s="1"/>
  <c r="C515" i="20" l="1"/>
  <c r="D516" i="20" s="1"/>
  <c r="B516" i="20"/>
  <c r="A519" i="20"/>
  <c r="C511" i="3"/>
  <c r="D512" i="3" s="1"/>
  <c r="C516" i="20" l="1"/>
  <c r="D517" i="20" s="1"/>
  <c r="B517" i="20"/>
  <c r="A520" i="20"/>
  <c r="C512" i="3"/>
  <c r="D513" i="3" s="1"/>
  <c r="C517" i="20" l="1"/>
  <c r="D518" i="20" s="1"/>
  <c r="B518" i="20"/>
  <c r="A521" i="20"/>
  <c r="C513" i="3"/>
  <c r="D514" i="3" s="1"/>
  <c r="C518" i="20" l="1"/>
  <c r="D519" i="20" s="1"/>
  <c r="B519" i="20"/>
  <c r="A522" i="20"/>
  <c r="C514" i="3"/>
  <c r="D515" i="3" s="1"/>
  <c r="C519" i="20" l="1"/>
  <c r="D520" i="20" s="1"/>
  <c r="B520" i="20"/>
  <c r="A523" i="20"/>
  <c r="C515" i="3"/>
  <c r="D516" i="3" s="1"/>
  <c r="C520" i="20" l="1"/>
  <c r="D521" i="20" s="1"/>
  <c r="B521" i="20"/>
  <c r="A524" i="20"/>
  <c r="C516" i="3"/>
  <c r="D517" i="3" s="1"/>
  <c r="C521" i="20" l="1"/>
  <c r="D522" i="20" s="1"/>
  <c r="B522" i="20"/>
  <c r="A525" i="20"/>
  <c r="C517" i="3"/>
  <c r="D518" i="3" s="1"/>
  <c r="C522" i="20" l="1"/>
  <c r="D523" i="20" s="1"/>
  <c r="B523" i="20"/>
  <c r="A526" i="20"/>
  <c r="C518" i="3"/>
  <c r="D519" i="3" s="1"/>
  <c r="C523" i="20" l="1"/>
  <c r="D524" i="20" s="1"/>
  <c r="B524" i="20"/>
  <c r="A527" i="20"/>
  <c r="C519" i="3"/>
  <c r="D520" i="3" s="1"/>
  <c r="C524" i="20" l="1"/>
  <c r="D525" i="20" s="1"/>
  <c r="B525" i="20"/>
  <c r="A528" i="20"/>
  <c r="C520" i="3"/>
  <c r="D521" i="3" s="1"/>
  <c r="C525" i="20" l="1"/>
  <c r="D526" i="20" s="1"/>
  <c r="B526" i="20"/>
  <c r="A529" i="20"/>
  <c r="C521" i="3"/>
  <c r="D522" i="3" s="1"/>
  <c r="C526" i="20" l="1"/>
  <c r="D527" i="20" s="1"/>
  <c r="B527" i="20"/>
  <c r="A530" i="20"/>
  <c r="C522" i="3"/>
  <c r="D523" i="3" s="1"/>
  <c r="C527" i="20" l="1"/>
  <c r="D528" i="20" s="1"/>
  <c r="B528" i="20"/>
  <c r="A531" i="20"/>
  <c r="C523" i="3"/>
  <c r="D524" i="3" s="1"/>
  <c r="C528" i="20" l="1"/>
  <c r="D529" i="20" s="1"/>
  <c r="B529" i="20"/>
  <c r="A532" i="20"/>
  <c r="C524" i="3"/>
  <c r="D525" i="3" s="1"/>
  <c r="C529" i="20" l="1"/>
  <c r="D530" i="20" s="1"/>
  <c r="B530" i="20"/>
  <c r="A533" i="20"/>
  <c r="C525" i="3"/>
  <c r="D526" i="3" s="1"/>
  <c r="C530" i="20" l="1"/>
  <c r="D531" i="20" s="1"/>
  <c r="B531" i="20"/>
  <c r="A534" i="20"/>
  <c r="C526" i="3"/>
  <c r="D527" i="3" s="1"/>
  <c r="C531" i="20" l="1"/>
  <c r="D532" i="20" s="1"/>
  <c r="B532" i="20"/>
  <c r="A535" i="20"/>
  <c r="C527" i="3"/>
  <c r="D528" i="3" s="1"/>
  <c r="C532" i="20" l="1"/>
  <c r="D533" i="20" s="1"/>
  <c r="B533" i="20"/>
  <c r="A536" i="20"/>
  <c r="C528" i="3"/>
  <c r="D529" i="3" s="1"/>
  <c r="C533" i="20" l="1"/>
  <c r="D534" i="20" s="1"/>
  <c r="B534" i="20"/>
  <c r="A537" i="20"/>
  <c r="C529" i="3"/>
  <c r="D530" i="3" s="1"/>
  <c r="C534" i="20" l="1"/>
  <c r="D535" i="20" s="1"/>
  <c r="B535" i="20"/>
  <c r="A538" i="20"/>
  <c r="C530" i="3"/>
  <c r="D531" i="3" s="1"/>
  <c r="C535" i="20" l="1"/>
  <c r="D536" i="20" s="1"/>
  <c r="B536" i="20"/>
  <c r="A539" i="20"/>
  <c r="C531" i="3"/>
  <c r="D532" i="3" s="1"/>
  <c r="C536" i="20" l="1"/>
  <c r="D537" i="20" s="1"/>
  <c r="B537" i="20"/>
  <c r="A540" i="20"/>
  <c r="C532" i="3"/>
  <c r="D533" i="3" s="1"/>
  <c r="C537" i="20" l="1"/>
  <c r="D538" i="20" s="1"/>
  <c r="B538" i="20"/>
  <c r="A541" i="20"/>
  <c r="C533" i="3"/>
  <c r="D534" i="3" s="1"/>
  <c r="C538" i="20" l="1"/>
  <c r="D539" i="20" s="1"/>
  <c r="B539" i="20"/>
  <c r="A542" i="20"/>
  <c r="C534" i="3"/>
  <c r="D535" i="3" s="1"/>
  <c r="C539" i="20" l="1"/>
  <c r="D540" i="20" s="1"/>
  <c r="B540" i="20"/>
  <c r="A543" i="20"/>
  <c r="C535" i="3"/>
  <c r="D536" i="3" s="1"/>
  <c r="C540" i="20" l="1"/>
  <c r="D541" i="20" s="1"/>
  <c r="B541" i="20"/>
  <c r="A544" i="20"/>
  <c r="C536" i="3"/>
  <c r="D537" i="3" s="1"/>
  <c r="C541" i="20" l="1"/>
  <c r="D542" i="20" s="1"/>
  <c r="B542" i="20"/>
  <c r="A545" i="20"/>
  <c r="C537" i="3"/>
  <c r="D538" i="3" s="1"/>
  <c r="C542" i="20" l="1"/>
  <c r="D543" i="20" s="1"/>
  <c r="B543" i="20"/>
  <c r="A546" i="20"/>
  <c r="C538" i="3"/>
  <c r="D539" i="3" s="1"/>
  <c r="C543" i="20" l="1"/>
  <c r="D544" i="20" s="1"/>
  <c r="B544" i="20"/>
  <c r="A547" i="20"/>
  <c r="C539" i="3"/>
  <c r="D540" i="3" s="1"/>
  <c r="C544" i="20" l="1"/>
  <c r="D545" i="20" s="1"/>
  <c r="B545" i="20"/>
  <c r="A548" i="20"/>
  <c r="C540" i="3"/>
  <c r="D541" i="3" s="1"/>
  <c r="C545" i="20" l="1"/>
  <c r="D546" i="20" s="1"/>
  <c r="B546" i="20"/>
  <c r="A549" i="20"/>
  <c r="C541" i="3"/>
  <c r="D542" i="3" s="1"/>
  <c r="C546" i="20" l="1"/>
  <c r="D547" i="20" s="1"/>
  <c r="B547" i="20"/>
  <c r="A550" i="20"/>
  <c r="C542" i="3"/>
  <c r="D543" i="3" s="1"/>
  <c r="C547" i="20" l="1"/>
  <c r="D548" i="20" s="1"/>
  <c r="B548" i="20"/>
  <c r="A551" i="20"/>
  <c r="C543" i="3"/>
  <c r="D544" i="3" s="1"/>
  <c r="C548" i="20" l="1"/>
  <c r="D549" i="20" s="1"/>
  <c r="B549" i="20"/>
  <c r="A552" i="20"/>
  <c r="C544" i="3"/>
  <c r="D545" i="3" s="1"/>
  <c r="C549" i="20" l="1"/>
  <c r="D550" i="20" s="1"/>
  <c r="B550" i="20"/>
  <c r="A553" i="20"/>
  <c r="C545" i="3"/>
  <c r="D546" i="3" s="1"/>
  <c r="C550" i="20" l="1"/>
  <c r="D551" i="20" s="1"/>
  <c r="B551" i="20"/>
  <c r="A554" i="20"/>
  <c r="C546" i="3"/>
  <c r="D547" i="3" s="1"/>
  <c r="C551" i="20" l="1"/>
  <c r="D552" i="20" s="1"/>
  <c r="B552" i="20"/>
  <c r="A555" i="20"/>
  <c r="C547" i="3"/>
  <c r="D548" i="3" s="1"/>
  <c r="C552" i="20" l="1"/>
  <c r="D553" i="20" s="1"/>
  <c r="B553" i="20"/>
  <c r="A556" i="20"/>
  <c r="C548" i="3"/>
  <c r="D549" i="3" s="1"/>
  <c r="C553" i="20" l="1"/>
  <c r="D554" i="20" s="1"/>
  <c r="B554" i="20"/>
  <c r="A557" i="20"/>
  <c r="C549" i="3"/>
  <c r="D550" i="3" s="1"/>
  <c r="C554" i="20" l="1"/>
  <c r="D555" i="20" s="1"/>
  <c r="B555" i="20"/>
  <c r="A558" i="20"/>
  <c r="C550" i="3"/>
  <c r="D551" i="3" s="1"/>
  <c r="C555" i="20" l="1"/>
  <c r="D556" i="20" s="1"/>
  <c r="B556" i="20"/>
  <c r="A559" i="20"/>
  <c r="C551" i="3"/>
  <c r="D552" i="3" s="1"/>
  <c r="C556" i="20" l="1"/>
  <c r="D557" i="20" s="1"/>
  <c r="B557" i="20"/>
  <c r="A560" i="20"/>
  <c r="C552" i="3"/>
  <c r="D553" i="3" s="1"/>
  <c r="C557" i="20" l="1"/>
  <c r="D558" i="20" s="1"/>
  <c r="B558" i="20"/>
  <c r="A561" i="20"/>
  <c r="C553" i="3"/>
  <c r="D554" i="3" s="1"/>
  <c r="C558" i="20" l="1"/>
  <c r="D559" i="20" s="1"/>
  <c r="B559" i="20"/>
  <c r="A562" i="20"/>
  <c r="C554" i="3"/>
  <c r="D555" i="3" s="1"/>
  <c r="C559" i="20" l="1"/>
  <c r="D560" i="20" s="1"/>
  <c r="B560" i="20"/>
  <c r="A563" i="20"/>
  <c r="C555" i="3"/>
  <c r="D556" i="3" s="1"/>
  <c r="C560" i="20" l="1"/>
  <c r="D561" i="20" s="1"/>
  <c r="B561" i="20"/>
  <c r="A564" i="20"/>
  <c r="C556" i="3"/>
  <c r="D557" i="3" s="1"/>
  <c r="C561" i="20" l="1"/>
  <c r="D562" i="20" s="1"/>
  <c r="B562" i="20"/>
  <c r="A565" i="20"/>
  <c r="C557" i="3"/>
  <c r="D558" i="3" s="1"/>
  <c r="C562" i="20" l="1"/>
  <c r="D563" i="20" s="1"/>
  <c r="B563" i="20"/>
  <c r="A566" i="20"/>
  <c r="C558" i="3"/>
  <c r="D559" i="3" s="1"/>
  <c r="C563" i="20" l="1"/>
  <c r="D564" i="20" s="1"/>
  <c r="B564" i="20"/>
  <c r="A567" i="20"/>
  <c r="C559" i="3"/>
  <c r="D560" i="3" s="1"/>
  <c r="C564" i="20" l="1"/>
  <c r="D565" i="20" s="1"/>
  <c r="B565" i="20"/>
  <c r="A568" i="20"/>
  <c r="C560" i="3"/>
  <c r="D561" i="3" s="1"/>
  <c r="C565" i="20" l="1"/>
  <c r="D566" i="20" s="1"/>
  <c r="B566" i="20"/>
  <c r="A569" i="20"/>
  <c r="C561" i="3"/>
  <c r="D562" i="3" s="1"/>
  <c r="C566" i="20" l="1"/>
  <c r="D567" i="20" s="1"/>
  <c r="B567" i="20"/>
  <c r="A570" i="20"/>
  <c r="C562" i="3"/>
  <c r="D563" i="3" s="1"/>
  <c r="C567" i="20" l="1"/>
  <c r="D568" i="20" s="1"/>
  <c r="B568" i="20"/>
  <c r="A571" i="20"/>
  <c r="C563" i="3"/>
  <c r="D564" i="3" s="1"/>
  <c r="C568" i="20" l="1"/>
  <c r="D569" i="20" s="1"/>
  <c r="B569" i="20"/>
  <c r="A572" i="20"/>
  <c r="C564" i="3"/>
  <c r="D565" i="3" s="1"/>
  <c r="C569" i="20" l="1"/>
  <c r="D570" i="20" s="1"/>
  <c r="B570" i="20"/>
  <c r="A573" i="20"/>
  <c r="C565" i="3"/>
  <c r="D566" i="3" s="1"/>
  <c r="C570" i="20" l="1"/>
  <c r="D571" i="20" s="1"/>
  <c r="B571" i="20"/>
  <c r="A574" i="20"/>
  <c r="C566" i="3"/>
  <c r="D567" i="3" s="1"/>
  <c r="C571" i="20" l="1"/>
  <c r="D572" i="20" s="1"/>
  <c r="B572" i="20"/>
  <c r="A575" i="20"/>
  <c r="C567" i="3"/>
  <c r="D568" i="3" s="1"/>
  <c r="C572" i="20" l="1"/>
  <c r="D573" i="20" s="1"/>
  <c r="B573" i="20"/>
  <c r="A576" i="20"/>
  <c r="C568" i="3"/>
  <c r="D569" i="3" s="1"/>
  <c r="C573" i="20" l="1"/>
  <c r="D574" i="20" s="1"/>
  <c r="B574" i="20"/>
  <c r="A577" i="20"/>
  <c r="C569" i="3"/>
  <c r="D570" i="3" s="1"/>
  <c r="C574" i="20" l="1"/>
  <c r="D575" i="20" s="1"/>
  <c r="B575" i="20"/>
  <c r="A578" i="20"/>
  <c r="C570" i="3"/>
  <c r="D571" i="3" s="1"/>
  <c r="C575" i="20" l="1"/>
  <c r="D576" i="20" s="1"/>
  <c r="B576" i="20"/>
  <c r="A579" i="20"/>
  <c r="C571" i="3"/>
  <c r="D572" i="3" s="1"/>
  <c r="C576" i="20" l="1"/>
  <c r="D577" i="20" s="1"/>
  <c r="B577" i="20"/>
  <c r="A580" i="20"/>
  <c r="C572" i="3"/>
  <c r="D573" i="3" s="1"/>
  <c r="C577" i="20" l="1"/>
  <c r="D578" i="20" s="1"/>
  <c r="B578" i="20"/>
  <c r="A581" i="20"/>
  <c r="C573" i="3"/>
  <c r="D574" i="3" s="1"/>
  <c r="C578" i="20" l="1"/>
  <c r="D579" i="20" s="1"/>
  <c r="B579" i="20"/>
  <c r="A582" i="20"/>
  <c r="C574" i="3"/>
  <c r="D575" i="3" s="1"/>
  <c r="C579" i="20" l="1"/>
  <c r="D580" i="20" s="1"/>
  <c r="B580" i="20"/>
  <c r="A583" i="20"/>
  <c r="C575" i="3"/>
  <c r="D576" i="3" s="1"/>
  <c r="C580" i="20" l="1"/>
  <c r="D581" i="20" s="1"/>
  <c r="B581" i="20"/>
  <c r="A584" i="20"/>
  <c r="C576" i="3"/>
  <c r="D577" i="3" s="1"/>
  <c r="C581" i="20" l="1"/>
  <c r="D582" i="20" s="1"/>
  <c r="B582" i="20"/>
  <c r="A585" i="20"/>
  <c r="C577" i="3"/>
  <c r="D578" i="3" s="1"/>
  <c r="C582" i="20" l="1"/>
  <c r="D583" i="20" s="1"/>
  <c r="B583" i="20"/>
  <c r="A586" i="20"/>
  <c r="C578" i="3"/>
  <c r="D579" i="3" s="1"/>
  <c r="C583" i="20" l="1"/>
  <c r="D584" i="20" s="1"/>
  <c r="B584" i="20"/>
  <c r="A587" i="20"/>
  <c r="C579" i="3"/>
  <c r="D580" i="3" s="1"/>
  <c r="C584" i="20" l="1"/>
  <c r="D585" i="20" s="1"/>
  <c r="B585" i="20"/>
  <c r="A588" i="20"/>
  <c r="C580" i="3"/>
  <c r="D581" i="3" s="1"/>
  <c r="C585" i="20" l="1"/>
  <c r="D586" i="20" s="1"/>
  <c r="B586" i="20"/>
  <c r="A589" i="20"/>
  <c r="C581" i="3"/>
  <c r="D582" i="3" s="1"/>
  <c r="C586" i="20" l="1"/>
  <c r="D587" i="20" s="1"/>
  <c r="B587" i="20"/>
  <c r="A590" i="20"/>
  <c r="C582" i="3"/>
  <c r="D583" i="3" s="1"/>
  <c r="C587" i="20" l="1"/>
  <c r="D588" i="20" s="1"/>
  <c r="B588" i="20"/>
  <c r="A591" i="20"/>
  <c r="C583" i="3"/>
  <c r="D584" i="3" s="1"/>
  <c r="C588" i="20" l="1"/>
  <c r="D589" i="20" s="1"/>
  <c r="B589" i="20"/>
  <c r="A592" i="20"/>
  <c r="C584" i="3"/>
  <c r="D585" i="3" s="1"/>
  <c r="C589" i="20" l="1"/>
  <c r="D590" i="20" s="1"/>
  <c r="B590" i="20"/>
  <c r="A593" i="20"/>
  <c r="C585" i="3"/>
  <c r="D586" i="3" s="1"/>
  <c r="C590" i="20" l="1"/>
  <c r="D591" i="20" s="1"/>
  <c r="B591" i="20"/>
  <c r="A594" i="20"/>
  <c r="C586" i="3"/>
  <c r="D587" i="3" s="1"/>
  <c r="C591" i="20" l="1"/>
  <c r="D592" i="20" s="1"/>
  <c r="B592" i="20"/>
  <c r="A595" i="20"/>
  <c r="C587" i="3"/>
  <c r="D588" i="3" s="1"/>
  <c r="C592" i="20" l="1"/>
  <c r="D593" i="20" s="1"/>
  <c r="B593" i="20"/>
  <c r="A596" i="20"/>
  <c r="C588" i="3"/>
  <c r="D589" i="3" s="1"/>
  <c r="C593" i="20" l="1"/>
  <c r="D594" i="20" s="1"/>
  <c r="B594" i="20"/>
  <c r="A597" i="20"/>
  <c r="C589" i="3"/>
  <c r="D590" i="3" s="1"/>
  <c r="C594" i="20" l="1"/>
  <c r="D595" i="20" s="1"/>
  <c r="B595" i="20"/>
  <c r="A598" i="20"/>
  <c r="C590" i="3"/>
  <c r="D591" i="3" s="1"/>
  <c r="C595" i="20" l="1"/>
  <c r="D596" i="20" s="1"/>
  <c r="B596" i="20"/>
  <c r="A599" i="20"/>
  <c r="C591" i="3"/>
  <c r="D592" i="3" s="1"/>
  <c r="C596" i="20" l="1"/>
  <c r="D597" i="20" s="1"/>
  <c r="B597" i="20"/>
  <c r="A600" i="20"/>
  <c r="C592" i="3"/>
  <c r="D593" i="3" s="1"/>
  <c r="C597" i="20" l="1"/>
  <c r="D598" i="20" s="1"/>
  <c r="B598" i="20"/>
  <c r="A601" i="20"/>
  <c r="C593" i="3"/>
  <c r="D594" i="3" s="1"/>
  <c r="C598" i="20" l="1"/>
  <c r="D599" i="20" s="1"/>
  <c r="B599" i="20"/>
  <c r="A602" i="20"/>
  <c r="C594" i="3"/>
  <c r="D595" i="3" s="1"/>
  <c r="C599" i="20" l="1"/>
  <c r="D600" i="20" s="1"/>
  <c r="B600" i="20"/>
  <c r="A603" i="20"/>
  <c r="C595" i="3"/>
  <c r="D596" i="3" s="1"/>
  <c r="C600" i="20" l="1"/>
  <c r="D601" i="20" s="1"/>
  <c r="B601" i="20"/>
  <c r="A604" i="20"/>
  <c r="C596" i="3"/>
  <c r="D597" i="3" s="1"/>
  <c r="C601" i="20" l="1"/>
  <c r="D602" i="20" s="1"/>
  <c r="B602" i="20"/>
  <c r="A605" i="20"/>
  <c r="C597" i="3"/>
  <c r="D598" i="3" s="1"/>
  <c r="C602" i="20" l="1"/>
  <c r="D603" i="20" s="1"/>
  <c r="B603" i="20"/>
  <c r="A606" i="20"/>
  <c r="C598" i="3"/>
  <c r="D599" i="3" s="1"/>
  <c r="C603" i="20" l="1"/>
  <c r="D604" i="20" s="1"/>
  <c r="B604" i="20"/>
  <c r="A607" i="20"/>
  <c r="C599" i="3"/>
  <c r="D600" i="3" s="1"/>
  <c r="C604" i="20" l="1"/>
  <c r="D605" i="20" s="1"/>
  <c r="B605" i="20"/>
  <c r="A608" i="20"/>
  <c r="C600" i="3"/>
  <c r="D601" i="3" s="1"/>
  <c r="C605" i="20" l="1"/>
  <c r="D606" i="20" s="1"/>
  <c r="B606" i="20"/>
  <c r="A609" i="20"/>
  <c r="C601" i="3"/>
  <c r="D602" i="3" s="1"/>
  <c r="C606" i="20" l="1"/>
  <c r="D607" i="20" s="1"/>
  <c r="B607" i="20"/>
  <c r="A610" i="20"/>
  <c r="C602" i="3"/>
  <c r="D603" i="3" s="1"/>
  <c r="C607" i="20" l="1"/>
  <c r="D608" i="20" s="1"/>
  <c r="B608" i="20"/>
  <c r="A611" i="20"/>
  <c r="C603" i="3"/>
  <c r="D604" i="3" s="1"/>
  <c r="C608" i="20" l="1"/>
  <c r="D609" i="20" s="1"/>
  <c r="B609" i="20"/>
  <c r="A612" i="20"/>
  <c r="C604" i="3"/>
  <c r="D605" i="3" s="1"/>
  <c r="C609" i="20" l="1"/>
  <c r="D610" i="20" s="1"/>
  <c r="B610" i="20"/>
  <c r="A613" i="20"/>
  <c r="C605" i="3"/>
  <c r="D606" i="3" s="1"/>
  <c r="C610" i="20" l="1"/>
  <c r="D611" i="20" s="1"/>
  <c r="B611" i="20"/>
  <c r="A614" i="20"/>
  <c r="C606" i="3"/>
  <c r="D607" i="3" s="1"/>
  <c r="C611" i="20" l="1"/>
  <c r="D612" i="20" s="1"/>
  <c r="B612" i="20"/>
  <c r="A615" i="20"/>
  <c r="C607" i="3"/>
  <c r="D608" i="3" s="1"/>
  <c r="C612" i="20" l="1"/>
  <c r="D613" i="20" s="1"/>
  <c r="B613" i="20"/>
  <c r="A616" i="20"/>
  <c r="C608" i="3"/>
  <c r="D609" i="3" s="1"/>
  <c r="C613" i="20" l="1"/>
  <c r="D614" i="20" s="1"/>
  <c r="B614" i="20"/>
  <c r="A617" i="20"/>
  <c r="C609" i="3"/>
  <c r="D610" i="3" s="1"/>
  <c r="C614" i="20" l="1"/>
  <c r="D615" i="20" s="1"/>
  <c r="B615" i="20"/>
  <c r="A618" i="20"/>
  <c r="C610" i="3"/>
  <c r="D611" i="3" s="1"/>
  <c r="C615" i="20" l="1"/>
  <c r="D616" i="20" s="1"/>
  <c r="B616" i="20"/>
  <c r="A619" i="20"/>
  <c r="C611" i="3"/>
  <c r="D612" i="3" s="1"/>
  <c r="C616" i="20" l="1"/>
  <c r="D617" i="20" s="1"/>
  <c r="B617" i="20"/>
  <c r="A620" i="20"/>
  <c r="C612" i="3"/>
  <c r="D613" i="3" s="1"/>
  <c r="C617" i="20" l="1"/>
  <c r="D618" i="20" s="1"/>
  <c r="B618" i="20"/>
  <c r="A621" i="20"/>
  <c r="C613" i="3"/>
  <c r="D614" i="3" s="1"/>
  <c r="C618" i="20" l="1"/>
  <c r="D619" i="20" s="1"/>
  <c r="B619" i="20"/>
  <c r="A622" i="20"/>
  <c r="C614" i="3"/>
  <c r="D615" i="3" s="1"/>
  <c r="C619" i="20" l="1"/>
  <c r="D620" i="20" s="1"/>
  <c r="B620" i="20"/>
  <c r="A623" i="20"/>
  <c r="C615" i="3"/>
  <c r="D616" i="3" s="1"/>
  <c r="C620" i="20" l="1"/>
  <c r="D621" i="20" s="1"/>
  <c r="B621" i="20"/>
  <c r="A624" i="20"/>
  <c r="C616" i="3"/>
  <c r="D617" i="3" s="1"/>
  <c r="C621" i="20" l="1"/>
  <c r="D622" i="20" s="1"/>
  <c r="B622" i="20"/>
  <c r="A625" i="20"/>
  <c r="C617" i="3"/>
  <c r="D618" i="3" s="1"/>
  <c r="C622" i="20" l="1"/>
  <c r="D623" i="20" s="1"/>
  <c r="B623" i="20"/>
  <c r="A626" i="20"/>
  <c r="C618" i="3"/>
  <c r="D619" i="3" s="1"/>
  <c r="C623" i="20" l="1"/>
  <c r="D624" i="20" s="1"/>
  <c r="B624" i="20"/>
  <c r="A627" i="20"/>
  <c r="C619" i="3"/>
  <c r="D620" i="3" s="1"/>
  <c r="C624" i="20" l="1"/>
  <c r="D625" i="20" s="1"/>
  <c r="B625" i="20"/>
  <c r="A628" i="20"/>
  <c r="C620" i="3"/>
  <c r="D621" i="3" s="1"/>
  <c r="C625" i="20" l="1"/>
  <c r="D626" i="20" s="1"/>
  <c r="B626" i="20"/>
  <c r="A629" i="20"/>
  <c r="C621" i="3"/>
  <c r="D622" i="3" s="1"/>
  <c r="C626" i="20" l="1"/>
  <c r="D627" i="20" s="1"/>
  <c r="B627" i="20"/>
  <c r="A630" i="20"/>
  <c r="C622" i="3"/>
  <c r="D623" i="3" s="1"/>
  <c r="C627" i="20" l="1"/>
  <c r="D628" i="20" s="1"/>
  <c r="B628" i="20"/>
  <c r="A631" i="20"/>
  <c r="C623" i="3"/>
  <c r="D624" i="3" s="1"/>
  <c r="C628" i="20" l="1"/>
  <c r="D629" i="20" s="1"/>
  <c r="B629" i="20"/>
  <c r="A632" i="20"/>
  <c r="C624" i="3"/>
  <c r="D625" i="3" s="1"/>
  <c r="C629" i="20" l="1"/>
  <c r="D630" i="20" s="1"/>
  <c r="B630" i="20"/>
  <c r="A633" i="20"/>
  <c r="C625" i="3"/>
  <c r="D626" i="3" s="1"/>
  <c r="C630" i="20" l="1"/>
  <c r="D631" i="20" s="1"/>
  <c r="B631" i="20"/>
  <c r="A634" i="20"/>
  <c r="C626" i="3"/>
  <c r="D627" i="3" s="1"/>
  <c r="C631" i="20" l="1"/>
  <c r="D632" i="20" s="1"/>
  <c r="B632" i="20"/>
  <c r="A635" i="20"/>
  <c r="C627" i="3"/>
  <c r="D628" i="3" s="1"/>
  <c r="C632" i="20" l="1"/>
  <c r="D633" i="20" s="1"/>
  <c r="B633" i="20"/>
  <c r="A636" i="20"/>
  <c r="C628" i="3"/>
  <c r="D629" i="3" s="1"/>
  <c r="C633" i="20" l="1"/>
  <c r="D634" i="20" s="1"/>
  <c r="B634" i="20"/>
  <c r="A637" i="20"/>
  <c r="C629" i="3"/>
  <c r="D630" i="3" s="1"/>
  <c r="C634" i="20" l="1"/>
  <c r="D635" i="20" s="1"/>
  <c r="B635" i="20"/>
  <c r="A638" i="20"/>
  <c r="C630" i="3"/>
  <c r="D631" i="3" s="1"/>
  <c r="C635" i="20" l="1"/>
  <c r="D636" i="20" s="1"/>
  <c r="B636" i="20"/>
  <c r="A639" i="20"/>
  <c r="C631" i="3"/>
  <c r="D632" i="3" s="1"/>
  <c r="C636" i="20" l="1"/>
  <c r="D637" i="20" s="1"/>
  <c r="B637" i="20"/>
  <c r="A640" i="20"/>
  <c r="C632" i="3"/>
  <c r="D633" i="3" s="1"/>
  <c r="C637" i="20" l="1"/>
  <c r="D638" i="20" s="1"/>
  <c r="B638" i="20"/>
  <c r="A641" i="20"/>
  <c r="C633" i="3"/>
  <c r="D634" i="3" s="1"/>
  <c r="C638" i="20" l="1"/>
  <c r="D639" i="20" s="1"/>
  <c r="B639" i="20"/>
  <c r="A642" i="20"/>
  <c r="C634" i="3"/>
  <c r="D635" i="3" s="1"/>
  <c r="C639" i="20" l="1"/>
  <c r="D640" i="20" s="1"/>
  <c r="B640" i="20"/>
  <c r="A643" i="20"/>
  <c r="C635" i="3"/>
  <c r="D636" i="3" s="1"/>
  <c r="C640" i="20" l="1"/>
  <c r="D641" i="20" s="1"/>
  <c r="B641" i="20"/>
  <c r="A644" i="20"/>
  <c r="C636" i="3"/>
  <c r="D637" i="3" s="1"/>
  <c r="C641" i="20" l="1"/>
  <c r="D642" i="20" s="1"/>
  <c r="B642" i="20"/>
  <c r="A645" i="20"/>
  <c r="C637" i="3"/>
  <c r="D638" i="3" s="1"/>
  <c r="C642" i="20" l="1"/>
  <c r="D643" i="20" s="1"/>
  <c r="B643" i="20"/>
  <c r="A646" i="20"/>
  <c r="C638" i="3"/>
  <c r="D639" i="3" s="1"/>
  <c r="C643" i="20" l="1"/>
  <c r="D644" i="20" s="1"/>
  <c r="B644" i="20"/>
  <c r="A647" i="20"/>
  <c r="C639" i="3"/>
  <c r="D640" i="3" s="1"/>
  <c r="C644" i="20" l="1"/>
  <c r="D645" i="20" s="1"/>
  <c r="B645" i="20"/>
  <c r="A648" i="20"/>
  <c r="C640" i="3"/>
  <c r="D641" i="3" s="1"/>
  <c r="C645" i="20" l="1"/>
  <c r="D646" i="20" s="1"/>
  <c r="B646" i="20"/>
  <c r="A649" i="20"/>
  <c r="C641" i="3"/>
  <c r="D642" i="3" s="1"/>
  <c r="C646" i="20" l="1"/>
  <c r="D647" i="20" s="1"/>
  <c r="B647" i="20"/>
  <c r="A650" i="20"/>
  <c r="C642" i="3"/>
  <c r="D643" i="3" s="1"/>
  <c r="C647" i="20" l="1"/>
  <c r="D648" i="20" s="1"/>
  <c r="B648" i="20"/>
  <c r="A651" i="20"/>
  <c r="C643" i="3"/>
  <c r="D644" i="3" s="1"/>
  <c r="C648" i="20" l="1"/>
  <c r="D649" i="20" s="1"/>
  <c r="B649" i="20"/>
  <c r="A652" i="20"/>
  <c r="C644" i="3"/>
  <c r="D645" i="3" s="1"/>
  <c r="C649" i="20" l="1"/>
  <c r="D650" i="20" s="1"/>
  <c r="B650" i="20"/>
  <c r="A653" i="20"/>
  <c r="C645" i="3"/>
  <c r="D646" i="3" s="1"/>
  <c r="C650" i="20" l="1"/>
  <c r="D651" i="20" s="1"/>
  <c r="B651" i="20"/>
  <c r="A654" i="20"/>
  <c r="C646" i="3"/>
  <c r="D647" i="3" s="1"/>
  <c r="C651" i="20" l="1"/>
  <c r="D652" i="20" s="1"/>
  <c r="B652" i="20"/>
  <c r="A655" i="20"/>
  <c r="C647" i="3"/>
  <c r="D648" i="3" s="1"/>
  <c r="C652" i="20" l="1"/>
  <c r="D653" i="20" s="1"/>
  <c r="B653" i="20"/>
  <c r="A656" i="20"/>
  <c r="C648" i="3"/>
  <c r="D649" i="3" s="1"/>
  <c r="C653" i="20" l="1"/>
  <c r="D654" i="20" s="1"/>
  <c r="B654" i="20"/>
  <c r="A657" i="20"/>
  <c r="C649" i="3"/>
  <c r="D650" i="3" s="1"/>
  <c r="C654" i="20" l="1"/>
  <c r="D655" i="20" s="1"/>
  <c r="B655" i="20"/>
  <c r="A658" i="20"/>
  <c r="C650" i="3"/>
  <c r="D651" i="3" s="1"/>
  <c r="C655" i="20" l="1"/>
  <c r="D656" i="20" s="1"/>
  <c r="B656" i="20"/>
  <c r="A659" i="20"/>
  <c r="C651" i="3"/>
  <c r="D652" i="3" s="1"/>
  <c r="C656" i="20" l="1"/>
  <c r="D657" i="20" s="1"/>
  <c r="B657" i="20"/>
  <c r="A660" i="20"/>
  <c r="C652" i="3"/>
  <c r="D653" i="3" s="1"/>
  <c r="C657" i="20" l="1"/>
  <c r="D658" i="20" s="1"/>
  <c r="B658" i="20"/>
  <c r="A661" i="20"/>
  <c r="C653" i="3"/>
  <c r="D654" i="3" s="1"/>
  <c r="C658" i="20" l="1"/>
  <c r="D659" i="20" s="1"/>
  <c r="B659" i="20"/>
  <c r="A662" i="20"/>
  <c r="C654" i="3"/>
  <c r="D655" i="3" s="1"/>
  <c r="C659" i="20" l="1"/>
  <c r="D660" i="20" s="1"/>
  <c r="B660" i="20"/>
  <c r="A663" i="20"/>
  <c r="C655" i="3"/>
  <c r="D656" i="3" s="1"/>
  <c r="C660" i="20" l="1"/>
  <c r="D661" i="20" s="1"/>
  <c r="B661" i="20"/>
  <c r="A664" i="20"/>
  <c r="C656" i="3"/>
  <c r="D657" i="3" s="1"/>
  <c r="C661" i="20" l="1"/>
  <c r="D662" i="20" s="1"/>
  <c r="B662" i="20"/>
  <c r="A665" i="20"/>
  <c r="C657" i="3"/>
  <c r="D658" i="3" s="1"/>
  <c r="C662" i="20" l="1"/>
  <c r="D663" i="20" s="1"/>
  <c r="B663" i="20"/>
  <c r="A666" i="20"/>
  <c r="C658" i="3"/>
  <c r="D659" i="3" s="1"/>
  <c r="C663" i="20" l="1"/>
  <c r="D664" i="20" s="1"/>
  <c r="B664" i="20"/>
  <c r="A667" i="20"/>
  <c r="C659" i="3"/>
  <c r="D660" i="3" s="1"/>
  <c r="C664" i="20" l="1"/>
  <c r="D665" i="20" s="1"/>
  <c r="B665" i="20"/>
  <c r="A668" i="20"/>
  <c r="C660" i="3"/>
  <c r="D661" i="3" s="1"/>
  <c r="C665" i="20" l="1"/>
  <c r="D666" i="20" s="1"/>
  <c r="B666" i="20"/>
  <c r="A669" i="20"/>
  <c r="C661" i="3"/>
  <c r="D662" i="3" s="1"/>
  <c r="C666" i="20" l="1"/>
  <c r="D667" i="20" s="1"/>
  <c r="B667" i="20"/>
  <c r="A670" i="20"/>
  <c r="C662" i="3"/>
  <c r="D663" i="3" s="1"/>
  <c r="C667" i="20" l="1"/>
  <c r="D668" i="20" s="1"/>
  <c r="B668" i="20"/>
  <c r="A671" i="20"/>
  <c r="C663" i="3"/>
  <c r="D664" i="3" s="1"/>
  <c r="C668" i="20" l="1"/>
  <c r="D669" i="20" s="1"/>
  <c r="B669" i="20"/>
  <c r="A672" i="20"/>
  <c r="C664" i="3"/>
  <c r="D665" i="3" s="1"/>
  <c r="C669" i="20" l="1"/>
  <c r="D670" i="20" s="1"/>
  <c r="B670" i="20"/>
  <c r="A673" i="20"/>
  <c r="C665" i="3"/>
  <c r="D666" i="3" s="1"/>
  <c r="C670" i="20" l="1"/>
  <c r="D671" i="20" s="1"/>
  <c r="B671" i="20"/>
  <c r="A674" i="20"/>
  <c r="C666" i="3"/>
  <c r="D667" i="3" s="1"/>
  <c r="C671" i="20" l="1"/>
  <c r="D672" i="20" s="1"/>
  <c r="B672" i="20"/>
  <c r="A675" i="20"/>
  <c r="C667" i="3"/>
  <c r="D668" i="3" s="1"/>
  <c r="C672" i="20" l="1"/>
  <c r="D673" i="20" s="1"/>
  <c r="B673" i="20"/>
  <c r="A676" i="20"/>
  <c r="C668" i="3"/>
  <c r="D669" i="3" s="1"/>
  <c r="C673" i="20" l="1"/>
  <c r="D674" i="20" s="1"/>
  <c r="B674" i="20"/>
  <c r="A677" i="20"/>
  <c r="C669" i="3"/>
  <c r="D670" i="3" s="1"/>
  <c r="C674" i="20" l="1"/>
  <c r="D675" i="20" s="1"/>
  <c r="B675" i="20"/>
  <c r="A678" i="20"/>
  <c r="C670" i="3"/>
  <c r="D671" i="3" s="1"/>
  <c r="C675" i="20" l="1"/>
  <c r="D676" i="20" s="1"/>
  <c r="B676" i="20"/>
  <c r="A679" i="20"/>
  <c r="C671" i="3"/>
  <c r="D672" i="3" s="1"/>
  <c r="C676" i="20" l="1"/>
  <c r="D677" i="20" s="1"/>
  <c r="B677" i="20"/>
  <c r="A680" i="20"/>
  <c r="C672" i="3"/>
  <c r="D673" i="3" s="1"/>
  <c r="C677" i="20" l="1"/>
  <c r="D678" i="20" s="1"/>
  <c r="B678" i="20"/>
  <c r="A681" i="20"/>
  <c r="C673" i="3"/>
  <c r="D674" i="3" s="1"/>
  <c r="C678" i="20" l="1"/>
  <c r="D679" i="20" s="1"/>
  <c r="B679" i="20"/>
  <c r="A682" i="20"/>
  <c r="C674" i="3"/>
  <c r="D675" i="3" s="1"/>
  <c r="C679" i="20" l="1"/>
  <c r="D680" i="20" s="1"/>
  <c r="B680" i="20"/>
  <c r="A683" i="20"/>
  <c r="C675" i="3"/>
  <c r="D676" i="3" s="1"/>
  <c r="C680" i="20" l="1"/>
  <c r="D681" i="20" s="1"/>
  <c r="B681" i="20"/>
  <c r="A684" i="20"/>
  <c r="C676" i="3"/>
  <c r="D677" i="3" s="1"/>
  <c r="C681" i="20" l="1"/>
  <c r="D682" i="20" s="1"/>
  <c r="B682" i="20"/>
  <c r="A685" i="20"/>
  <c r="C677" i="3"/>
  <c r="D678" i="3" s="1"/>
  <c r="C682" i="20" l="1"/>
  <c r="D683" i="20" s="1"/>
  <c r="B683" i="20"/>
  <c r="A686" i="20"/>
  <c r="C678" i="3"/>
  <c r="D679" i="3" s="1"/>
  <c r="C683" i="20" l="1"/>
  <c r="D684" i="20" s="1"/>
  <c r="B684" i="20"/>
  <c r="A687" i="20"/>
  <c r="C679" i="3"/>
  <c r="D680" i="3" s="1"/>
  <c r="C684" i="20" l="1"/>
  <c r="D685" i="20" s="1"/>
  <c r="B685" i="20"/>
  <c r="A688" i="20"/>
  <c r="C680" i="3"/>
  <c r="D681" i="3" s="1"/>
  <c r="C685" i="20" l="1"/>
  <c r="D686" i="20" s="1"/>
  <c r="B686" i="20"/>
  <c r="A689" i="20"/>
  <c r="C681" i="3"/>
  <c r="D682" i="3" s="1"/>
  <c r="C686" i="20" l="1"/>
  <c r="D687" i="20" s="1"/>
  <c r="B687" i="20"/>
  <c r="A690" i="20"/>
  <c r="C682" i="3"/>
  <c r="D683" i="3" s="1"/>
  <c r="C687" i="20" l="1"/>
  <c r="D688" i="20" s="1"/>
  <c r="B688" i="20"/>
  <c r="A691" i="20"/>
  <c r="C683" i="3"/>
  <c r="D684" i="3" s="1"/>
  <c r="C688" i="20" l="1"/>
  <c r="D689" i="20" s="1"/>
  <c r="B689" i="20"/>
  <c r="A692" i="20"/>
  <c r="C684" i="3"/>
  <c r="D685" i="3" s="1"/>
  <c r="C689" i="20" l="1"/>
  <c r="D690" i="20" s="1"/>
  <c r="B690" i="20"/>
  <c r="A693" i="20"/>
  <c r="C685" i="3"/>
  <c r="D686" i="3" s="1"/>
  <c r="C690" i="20" l="1"/>
  <c r="D691" i="20" s="1"/>
  <c r="B691" i="20"/>
  <c r="A694" i="20"/>
  <c r="C686" i="3"/>
  <c r="D687" i="3" s="1"/>
  <c r="C691" i="20" l="1"/>
  <c r="D692" i="20" s="1"/>
  <c r="B692" i="20"/>
  <c r="A695" i="20"/>
  <c r="C687" i="3"/>
  <c r="D688" i="3" s="1"/>
  <c r="C692" i="20" l="1"/>
  <c r="D693" i="20" s="1"/>
  <c r="B693" i="20"/>
  <c r="A696" i="20"/>
  <c r="C688" i="3"/>
  <c r="D689" i="3" s="1"/>
  <c r="C693" i="20" l="1"/>
  <c r="D694" i="20" s="1"/>
  <c r="B694" i="20"/>
  <c r="A697" i="20"/>
  <c r="C689" i="3"/>
  <c r="D690" i="3" s="1"/>
  <c r="C694" i="20" l="1"/>
  <c r="D695" i="20" s="1"/>
  <c r="B695" i="20"/>
  <c r="A698" i="20"/>
  <c r="C690" i="3"/>
  <c r="D691" i="3" s="1"/>
  <c r="C695" i="20" l="1"/>
  <c r="D696" i="20" s="1"/>
  <c r="B696" i="20"/>
  <c r="A699" i="20"/>
  <c r="C691" i="3"/>
  <c r="D692" i="3" s="1"/>
  <c r="C696" i="20" l="1"/>
  <c r="D697" i="20" s="1"/>
  <c r="B697" i="20"/>
  <c r="A700" i="20"/>
  <c r="C692" i="3"/>
  <c r="D693" i="3" s="1"/>
  <c r="C697" i="20" l="1"/>
  <c r="D698" i="20" s="1"/>
  <c r="B698" i="20"/>
  <c r="A701" i="20"/>
  <c r="C693" i="3"/>
  <c r="D694" i="3" s="1"/>
  <c r="C698" i="20" l="1"/>
  <c r="D699" i="20" s="1"/>
  <c r="B699" i="20"/>
  <c r="A702" i="20"/>
  <c r="C694" i="3"/>
  <c r="D695" i="3" s="1"/>
  <c r="C699" i="20" l="1"/>
  <c r="D700" i="20" s="1"/>
  <c r="B700" i="20"/>
  <c r="A703" i="20"/>
  <c r="C695" i="3"/>
  <c r="D696" i="3" s="1"/>
  <c r="C700" i="20" l="1"/>
  <c r="D701" i="20" s="1"/>
  <c r="B701" i="20"/>
  <c r="A704" i="20"/>
  <c r="C696" i="3"/>
  <c r="D697" i="3" s="1"/>
  <c r="C701" i="20" l="1"/>
  <c r="D702" i="20" s="1"/>
  <c r="B702" i="20"/>
  <c r="A705" i="20"/>
  <c r="C697" i="3"/>
  <c r="D698" i="3" s="1"/>
  <c r="C702" i="20" l="1"/>
  <c r="D703" i="20" s="1"/>
  <c r="B703" i="20"/>
  <c r="A706" i="20"/>
  <c r="C698" i="3"/>
  <c r="D699" i="3" s="1"/>
  <c r="C703" i="20" l="1"/>
  <c r="D704" i="20" s="1"/>
  <c r="B704" i="20"/>
  <c r="A707" i="20"/>
  <c r="C699" i="3"/>
  <c r="D700" i="3" s="1"/>
  <c r="C704" i="20" l="1"/>
  <c r="D705" i="20" s="1"/>
  <c r="B705" i="20"/>
  <c r="A708" i="20"/>
  <c r="C700" i="3"/>
  <c r="D701" i="3" s="1"/>
  <c r="C705" i="20" l="1"/>
  <c r="D706" i="20" s="1"/>
  <c r="B706" i="20"/>
  <c r="A709" i="20"/>
  <c r="C701" i="3"/>
  <c r="D702" i="3" s="1"/>
  <c r="C706" i="20" l="1"/>
  <c r="D707" i="20" s="1"/>
  <c r="B707" i="20"/>
  <c r="A710" i="20"/>
  <c r="C702" i="3"/>
  <c r="D703" i="3" s="1"/>
  <c r="C707" i="20" l="1"/>
  <c r="D708" i="20" s="1"/>
  <c r="B708" i="20"/>
  <c r="A711" i="20"/>
  <c r="C703" i="3"/>
  <c r="D704" i="3" s="1"/>
  <c r="C708" i="20" l="1"/>
  <c r="D709" i="20" s="1"/>
  <c r="B709" i="20"/>
  <c r="A712" i="20"/>
  <c r="C704" i="3"/>
  <c r="D705" i="3" s="1"/>
  <c r="C709" i="20" l="1"/>
  <c r="D710" i="20" s="1"/>
  <c r="B710" i="20"/>
  <c r="A713" i="20"/>
  <c r="C705" i="3"/>
  <c r="D706" i="3" s="1"/>
  <c r="C710" i="20" l="1"/>
  <c r="D711" i="20" s="1"/>
  <c r="B711" i="20"/>
  <c r="A714" i="20"/>
  <c r="C706" i="3"/>
  <c r="D707" i="3" s="1"/>
  <c r="C711" i="20" l="1"/>
  <c r="D712" i="20" s="1"/>
  <c r="B712" i="20"/>
  <c r="A715" i="20"/>
  <c r="C707" i="3"/>
  <c r="D708" i="3" s="1"/>
  <c r="C712" i="20" l="1"/>
  <c r="D713" i="20" s="1"/>
  <c r="B713" i="20"/>
  <c r="A716" i="20"/>
  <c r="C708" i="3"/>
  <c r="D709" i="3" s="1"/>
  <c r="C713" i="20" l="1"/>
  <c r="D714" i="20" s="1"/>
  <c r="B714" i="20"/>
  <c r="A717" i="20"/>
  <c r="C709" i="3"/>
  <c r="D710" i="3" s="1"/>
  <c r="C714" i="20" l="1"/>
  <c r="D715" i="20" s="1"/>
  <c r="B715" i="20"/>
  <c r="A718" i="20"/>
  <c r="C710" i="3"/>
  <c r="D711" i="3" s="1"/>
  <c r="C715" i="20" l="1"/>
  <c r="D716" i="20" s="1"/>
  <c r="B716" i="20"/>
  <c r="A719" i="20"/>
  <c r="C711" i="3"/>
  <c r="D712" i="3" s="1"/>
  <c r="C716" i="20" l="1"/>
  <c r="D717" i="20" s="1"/>
  <c r="B717" i="20"/>
  <c r="A720" i="20"/>
  <c r="C712" i="3"/>
  <c r="D713" i="3" s="1"/>
  <c r="C717" i="20" l="1"/>
  <c r="D718" i="20" s="1"/>
  <c r="B718" i="20"/>
  <c r="A721" i="20"/>
  <c r="C713" i="3"/>
  <c r="D714" i="3" s="1"/>
  <c r="C718" i="20" l="1"/>
  <c r="D719" i="20" s="1"/>
  <c r="B719" i="20"/>
  <c r="A722" i="20"/>
  <c r="C714" i="3"/>
  <c r="D715" i="3" s="1"/>
  <c r="C719" i="20" l="1"/>
  <c r="D720" i="20" s="1"/>
  <c r="B720" i="20"/>
  <c r="A723" i="20"/>
  <c r="C715" i="3"/>
  <c r="D716" i="3" s="1"/>
  <c r="C720" i="20" l="1"/>
  <c r="D721" i="20" s="1"/>
  <c r="B721" i="20"/>
  <c r="A724" i="20"/>
  <c r="C716" i="3"/>
  <c r="D717" i="3" s="1"/>
  <c r="C721" i="20" l="1"/>
  <c r="D722" i="20" s="1"/>
  <c r="B722" i="20"/>
  <c r="A725" i="20"/>
  <c r="C717" i="3"/>
  <c r="D718" i="3" s="1"/>
  <c r="C722" i="20" l="1"/>
  <c r="D723" i="20" s="1"/>
  <c r="B723" i="20"/>
  <c r="A726" i="20"/>
  <c r="C718" i="3"/>
  <c r="D719" i="3" s="1"/>
  <c r="C723" i="20" l="1"/>
  <c r="D724" i="20" s="1"/>
  <c r="B724" i="20"/>
  <c r="A727" i="20"/>
  <c r="C719" i="3"/>
  <c r="D720" i="3" s="1"/>
  <c r="C724" i="20" l="1"/>
  <c r="D725" i="20" s="1"/>
  <c r="B725" i="20"/>
  <c r="A728" i="20"/>
  <c r="C720" i="3"/>
  <c r="D721" i="3" s="1"/>
  <c r="C725" i="20" l="1"/>
  <c r="D726" i="20" s="1"/>
  <c r="B726" i="20"/>
  <c r="A729" i="20"/>
  <c r="C721" i="3"/>
  <c r="D722" i="3" s="1"/>
  <c r="C726" i="20" l="1"/>
  <c r="D727" i="20" s="1"/>
  <c r="B727" i="20"/>
  <c r="A730" i="20"/>
  <c r="C722" i="3"/>
  <c r="D723" i="3" s="1"/>
  <c r="C727" i="20" l="1"/>
  <c r="D728" i="20" s="1"/>
  <c r="B728" i="20"/>
  <c r="A731" i="20"/>
  <c r="C723" i="3"/>
  <c r="D724" i="3" s="1"/>
  <c r="C728" i="20" l="1"/>
  <c r="D729" i="20" s="1"/>
  <c r="B729" i="20"/>
  <c r="C724" i="3"/>
  <c r="D725" i="3" s="1"/>
  <c r="C729" i="20" l="1"/>
  <c r="D730" i="20" s="1"/>
  <c r="B730" i="20"/>
  <c r="C725" i="3"/>
  <c r="D726" i="3" s="1"/>
  <c r="C730" i="20" l="1"/>
  <c r="D731" i="20" s="1"/>
  <c r="B731" i="20"/>
  <c r="C731" i="20" s="1"/>
  <c r="C726" i="3"/>
  <c r="D727" i="3" s="1"/>
  <c r="B17" i="20" l="1"/>
  <c r="B16" i="20"/>
  <c r="C727" i="3"/>
  <c r="D728" i="3" s="1"/>
  <c r="C728" i="3" l="1"/>
  <c r="D729" i="3" s="1"/>
  <c r="C729" i="3" l="1"/>
  <c r="D730" i="3" s="1"/>
  <c r="C731" i="3" l="1"/>
  <c r="C730" i="3"/>
  <c r="D731" i="3" s="1"/>
  <c r="B16" i="3" s="1"/>
  <c r="B17" i="3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<sst xmlns="http://schemas.openxmlformats.org/spreadsheetml/2006/main" count="501" uniqueCount="127">
  <si>
    <t>d</t>
  </si>
  <si>
    <t>k</t>
  </si>
  <si>
    <t>Error</t>
  </si>
  <si>
    <t>feet</t>
  </si>
  <si>
    <t>M</t>
  </si>
  <si>
    <t>motor speed</t>
  </si>
  <si>
    <t>loop_time</t>
  </si>
  <si>
    <t>seconds</t>
  </si>
  <si>
    <t>v_c</t>
  </si>
  <si>
    <t>in/s</t>
  </si>
  <si>
    <t>in/s/motor speed</t>
  </si>
  <si>
    <t>in/s/s</t>
  </si>
  <si>
    <t>in</t>
  </si>
  <si>
    <t>t</t>
  </si>
  <si>
    <t>a</t>
  </si>
  <si>
    <t>v_max</t>
  </si>
  <si>
    <t>inches</t>
  </si>
  <si>
    <t>v_command</t>
  </si>
  <si>
    <t>t_total</t>
  </si>
  <si>
    <t>t-ta</t>
  </si>
  <si>
    <t>v</t>
  </si>
  <si>
    <t>m_step</t>
  </si>
  <si>
    <t>0 to 1</t>
  </si>
  <si>
    <t>up to ~500</t>
  </si>
  <si>
    <t>target dist</t>
  </si>
  <si>
    <t>ta</t>
  </si>
  <si>
    <t>Distance Achieved</t>
  </si>
  <si>
    <t>M_c</t>
  </si>
  <si>
    <t>Battery
V</t>
  </si>
  <si>
    <t>dist command</t>
  </si>
  <si>
    <t>dist adjused</t>
  </si>
  <si>
    <t>angle command</t>
  </si>
  <si>
    <t>dist adjusted</t>
  </si>
  <si>
    <t>2026 robot data</t>
  </si>
  <si>
    <t>test #</t>
  </si>
  <si>
    <t>expected distance</t>
  </si>
  <si>
    <t>real distance</t>
  </si>
  <si>
    <t>motor command</t>
  </si>
  <si>
    <t>votage</t>
  </si>
  <si>
    <t>error (subtract)</t>
  </si>
  <si>
    <t>error (divide)</t>
  </si>
  <si>
    <t>k value</t>
  </si>
  <si>
    <t>accel. rate</t>
  </si>
  <si>
    <t>Test #</t>
  </si>
  <si>
    <t>Robot Front Zero</t>
  </si>
  <si>
    <t>Feed</t>
  </si>
  <si>
    <t>Launch</t>
  </si>
  <si>
    <t>Battery</t>
  </si>
  <si>
    <t>Position</t>
  </si>
  <si>
    <t>Distance of shot</t>
  </si>
  <si>
    <t>Distance from robot</t>
  </si>
  <si>
    <t>center</t>
  </si>
  <si>
    <t>left</t>
  </si>
  <si>
    <t>Standard Deviation</t>
  </si>
  <si>
    <t>Expected frequency outside limits for given population</t>
  </si>
  <si>
    <t>Percent Covered</t>
  </si>
  <si>
    <t>Percent Left</t>
  </si>
  <si>
    <t>1 sigma</t>
  </si>
  <si>
    <t>2 sigma</t>
  </si>
  <si>
    <t>3 sigma</t>
  </si>
  <si>
    <t>4 sigma</t>
  </si>
  <si>
    <t>5 sigma</t>
  </si>
  <si>
    <t>6 sigma</t>
  </si>
  <si>
    <t>Sample Size Determination</t>
  </si>
  <si>
    <t>Confidence</t>
  </si>
  <si>
    <t>Sample Size</t>
  </si>
  <si>
    <t>Desired Interval</t>
  </si>
  <si>
    <t>Normal Distribution Confidence Interval</t>
  </si>
  <si>
    <t>Interval</t>
  </si>
  <si>
    <t>Sample Min</t>
  </si>
  <si>
    <t>Sample Max</t>
  </si>
  <si>
    <t>Sample Mean</t>
  </si>
  <si>
    <t>Sample Std Dev</t>
  </si>
  <si>
    <t>Num of Samples</t>
  </si>
  <si>
    <t>Z-Test Proportion Confidence Interval</t>
  </si>
  <si>
    <t>Non-conforming samples</t>
  </si>
  <si>
    <t>Binomial</t>
  </si>
  <si>
    <t>Num of Trials</t>
  </si>
  <si>
    <t>Probability</t>
  </si>
  <si>
    <t>Prob of Success</t>
  </si>
  <si>
    <t>Num of Successes</t>
  </si>
  <si>
    <t>Cumulative?</t>
  </si>
  <si>
    <t>Poisson</t>
  </si>
  <si>
    <t>New Count</t>
  </si>
  <si>
    <t>Historical Mean</t>
  </si>
  <si>
    <t>Hypergeometric</t>
  </si>
  <si>
    <t>Sample_s</t>
  </si>
  <si>
    <t>Samples</t>
  </si>
  <si>
    <t>Population_s</t>
  </si>
  <si>
    <t>Population</t>
  </si>
  <si>
    <t>What is the chance we will catch a event?</t>
  </si>
  <si>
    <t>Probability of event</t>
  </si>
  <si>
    <t>Number of Trials</t>
  </si>
  <si>
    <t>Linear Interpolation</t>
  </si>
  <si>
    <t>X</t>
  </si>
  <si>
    <t>Y</t>
  </si>
  <si>
    <t>Point 1</t>
  </si>
  <si>
    <t>Unknown</t>
  </si>
  <si>
    <t>Point 2</t>
  </si>
  <si>
    <t>Shooting Distance Data</t>
  </si>
  <si>
    <t>Overall Average</t>
  </si>
  <si>
    <t>Center Average</t>
  </si>
  <si>
    <t>Left Average</t>
  </si>
  <si>
    <t>Overall STDEV</t>
  </si>
  <si>
    <t>Center STDEV</t>
  </si>
  <si>
    <t>Left STDEV</t>
  </si>
  <si>
    <t>Balls Loaded
count</t>
  </si>
  <si>
    <t>Launch
M</t>
  </si>
  <si>
    <t>Feed
M</t>
  </si>
  <si>
    <t>Notes</t>
  </si>
  <si>
    <t>Jams
count</t>
  </si>
  <si>
    <t>Seconds to balls</t>
  </si>
  <si>
    <t>just no</t>
  </si>
  <si>
    <t>Average
Speed</t>
  </si>
  <si>
    <t>Speed Error</t>
  </si>
  <si>
    <t>Overall Average Distance</t>
  </si>
  <si>
    <t>Feed Motor Speed</t>
  </si>
  <si>
    <t>Speed STDEV</t>
  </si>
  <si>
    <t>Overall Distance STDEV</t>
  </si>
  <si>
    <t>bpm</t>
  </si>
  <si>
    <t>Chance of Success</t>
  </si>
  <si>
    <t>Delivery Rate</t>
  </si>
  <si>
    <t>Time
s</t>
  </si>
  <si>
    <t>Chance of at least x balls (Continuous)</t>
  </si>
  <si>
    <t>Chance of at least x balls (8 balls available)</t>
  </si>
  <si>
    <t>Speed bpm</t>
  </si>
  <si>
    <t>Min Speed bpm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</si>
</sst>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%"/>
    <numFmt numFmtId="165" formatCode="0.000000%"/>
    <numFmt numFmtId="166" formatCode="0.0000000%"/>
    <numFmt numFmtId="167" formatCode="0.000"/>
    <numFmt numFmtId="172" formatCode="0.0%"/>
  </numFmts>
  <fonts count="18" x14ac:knownFonts="1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66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0" fontId="1" fillId="0" borderId="0" applyNumberFormat="0" applyFill="0" applyBorder="0" applyAlignment="0" applyProtection="0"/>
    <xf numFmtId="0" fontId="2" fillId="2" borderId="1" applyNumberFormat="0" applyAlignment="0" applyProtection="0"/>
    <xf numFmtId="0" fontId="3" fillId="3" borderId="2" applyNumberFormat="0" applyAlignment="0" applyProtection="0"/>
    <xf numFmtId="0" fontId="4" fillId="3" borderId="1" applyNumberFormat="0" applyAlignment="0" applyProtection="0"/>
    <xf numFmtId="0" fontId="5" fillId="0" borderId="0" applyNumberFormat="0" applyFill="0" applyBorder="0" applyAlignment="0" applyProtection="0"/>
    <xf numFmtId="0" fontId="7" fillId="4" borderId="3" applyNumberFormat="0" applyAlignment="0" applyProtection="0"/>
    <xf numFmtId="0" fontId="12" fillId="0" borderId="8" applyNumberFormat="0" applyFill="0" applyAlignment="0" applyProtection="0"/>
    <xf numFmtId="0" fontId="13" fillId="0" borderId="9" applyNumberFormat="0" applyFill="0" applyAlignment="0" applyProtection="0"/>
    <xf numFmtId="0" fontId="14" fillId="0" borderId="0" applyNumberFormat="0" applyFill="0" applyBorder="0" applyAlignment="0" applyProtection="0"/>
    <xf numFmtId="0" fontId="6" fillId="7" borderId="10" applyNumberFormat="0" applyFont="0" applyAlignment="0" applyProtection="0"/>
  </cellStyleXfs>
  <cellXfs count="65">
    <xf numFmtId="0" fontId="0" fillId="0" borderId="0" xfId="0"/>
    <xf numFmtId="0" fontId="4" fillId="3" borderId="1" xfId="4"/>
    <xf numFmtId="0" fontId="0" fillId="0" borderId="0" xfId="0" applyAlignment="1">
      <alignment horizontal="center"/>
    </xf>
    <xf numFmtId="0" fontId="2" fillId="2" borderId="1" xfId="2" applyAlignment="1">
      <alignment horizontal="center"/>
    </xf>
    <xf numFmtId="0" fontId="4" fillId="3" borderId="1" xfId="4" applyAlignment="1">
      <alignment horizontal="center"/>
    </xf>
    <xf numFmtId="0" fontId="5" fillId="0" borderId="0" xfId="5"/>
    <xf numFmtId="0" fontId="3" fillId="3" borderId="2" xfId="3" applyAlignment="1">
      <alignment horizontal="center"/>
    </xf>
    <xf numFmtId="0" fontId="0" fillId="0" borderId="0" xfId="0" applyAlignment="1">
      <alignment horizontal="left"/>
    </xf>
    <xf numFmtId="0" fontId="2" fillId="2" borderId="1" xfId="2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horizontal="center"/>
    </xf>
    <xf numFmtId="0" fontId="0" fillId="0" borderId="4" xfId="0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11" fillId="6" borderId="6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" fillId="2" borderId="7" xfId="2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0" fillId="0" borderId="12" xfId="0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3" fontId="8" fillId="0" borderId="11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0" fontId="0" fillId="0" borderId="11" xfId="0" applyNumberFormat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3" fontId="0" fillId="8" borderId="11" xfId="0" applyNumberFormat="1" applyFill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166" fontId="0" fillId="0" borderId="0" xfId="0" applyNumberFormat="1"/>
    <xf numFmtId="0" fontId="17" fillId="0" borderId="0" xfId="0" applyFont="1"/>
    <xf numFmtId="9" fontId="2" fillId="2" borderId="1" xfId="2" applyNumberFormat="1"/>
    <xf numFmtId="1" fontId="3" fillId="3" borderId="2" xfId="3" applyNumberFormat="1" applyAlignment="1">
      <alignment horizontal="center"/>
    </xf>
    <xf numFmtId="0" fontId="13" fillId="0" borderId="9" xfId="8"/>
    <xf numFmtId="0" fontId="3" fillId="3" borderId="2" xfId="3" applyNumberFormat="1" applyAlignment="1">
      <alignment horizontal="center"/>
    </xf>
    <xf numFmtId="1" fontId="2" fillId="2" borderId="1" xfId="2" applyNumberFormat="1"/>
    <xf numFmtId="167" fontId="3" fillId="3" borderId="2" xfId="3" applyNumberFormat="1" applyAlignment="1">
      <alignment horizontal="center"/>
    </xf>
    <xf numFmtId="0" fontId="17" fillId="0" borderId="0" xfId="0" applyFont="1" applyAlignment="1">
      <alignment horizontal="center"/>
    </xf>
    <xf numFmtId="10" fontId="3" fillId="3" borderId="2" xfId="3" applyNumberFormat="1" applyAlignment="1">
      <alignment horizontal="center"/>
    </xf>
    <xf numFmtId="10" fontId="0" fillId="0" borderId="0" xfId="0" applyNumberFormat="1" applyAlignment="1">
      <alignment horizontal="center"/>
    </xf>
    <xf numFmtId="0" fontId="8" fillId="0" borderId="0" xfId="0" applyFont="1"/>
    <xf numFmtId="164" fontId="3" fillId="3" borderId="2" xfId="3" applyNumberFormat="1" applyAlignment="1">
      <alignment horizontal="center"/>
    </xf>
    <xf numFmtId="0" fontId="12" fillId="0" borderId="8" xfId="7" applyAlignment="1">
      <alignment horizontal="left"/>
    </xf>
    <xf numFmtId="0" fontId="14" fillId="0" borderId="0" xfId="9" applyAlignment="1">
      <alignment horizontal="center"/>
    </xf>
    <xf numFmtId="0" fontId="7" fillId="4" borderId="3" xfId="6" applyAlignment="1">
      <alignment horizontal="center"/>
    </xf>
    <xf numFmtId="0" fontId="1" fillId="0" borderId="0" xfId="1" applyAlignment="1">
      <alignment horizontal="left" vertical="center"/>
    </xf>
    <xf numFmtId="0" fontId="16" fillId="0" borderId="0" xfId="0" applyFont="1" applyAlignment="1">
      <alignment horizontal="center" vertical="top"/>
    </xf>
    <xf numFmtId="0" fontId="4" fillId="3" borderId="1" xfId="4" applyAlignment="1">
      <alignment horizontal="center" vertical="top" wrapText="1"/>
    </xf>
    <xf numFmtId="0" fontId="2" fillId="2" borderId="1" xfId="2" applyAlignment="1">
      <alignment horizontal="center" vertical="top" wrapText="1"/>
    </xf>
    <xf numFmtId="0" fontId="2" fillId="7" borderId="10" xfId="10" applyFont="1" applyAlignment="1">
      <alignment horizontal="center" vertical="top"/>
    </xf>
    <xf numFmtId="0" fontId="2" fillId="7" borderId="10" xfId="10" applyFont="1" applyAlignment="1">
      <alignment horizontal="center"/>
    </xf>
    <xf numFmtId="0" fontId="8" fillId="0" borderId="11" xfId="0" applyFont="1" applyBorder="1" applyAlignment="1">
      <alignment horizontal="center"/>
    </xf>
    <xf numFmtId="0" fontId="13" fillId="0" borderId="9" xfId="8" applyAlignment="1">
      <alignment horizontal="left"/>
    </xf>
    <xf numFmtId="0" fontId="10" fillId="5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7" fillId="0" borderId="0" xfId="0" applyFont="1" applyAlignment="1">
      <alignment horizontal="center" vertical="top" wrapText="1"/>
    </xf>
    <xf numFmtId="0" fontId="17" fillId="0" borderId="0" xfId="0" applyFont="1" applyAlignment="1">
      <alignment horizontal="center" vertical="top"/>
    </xf>
    <xf numFmtId="172" fontId="16" fillId="0" borderId="0" xfId="0" applyNumberFormat="1" applyFont="1" applyAlignment="1">
      <alignment horizontal="center" vertical="top" wrapText="1"/>
    </xf>
    <xf numFmtId="172" fontId="0" fillId="0" borderId="0" xfId="0" applyNumberFormat="1"/>
    <xf numFmtId="172" fontId="17" fillId="0" borderId="0" xfId="0" applyNumberFormat="1" applyFont="1" applyAlignment="1">
      <alignment horizontal="center" vertical="top"/>
    </xf>
    <xf numFmtId="0" fontId="2" fillId="2" borderId="1" xfId="2" applyAlignment="1">
      <alignment horizontal="center" vertical="top"/>
    </xf>
    <xf numFmtId="0" fontId="16" fillId="0" borderId="0" xfId="0" applyFont="1" applyAlignment="1">
      <alignment horizontal="center" vertical="top" wrapText="1"/>
    </xf>
  </cellXfs>
  <cellStyles count="11">
    <cellStyle name="Calculation" xfId="4" builtinId="22"/>
    <cellStyle name="Check Cell" xfId="6" builtinId="23"/>
    <cellStyle name="Explanatory Text" xfId="5" builtinId="53"/>
    <cellStyle name="Heading 1" xfId="7" builtinId="16"/>
    <cellStyle name="Heading 2" xfId="8" builtinId="17"/>
    <cellStyle name="Heading 4" xfId="9" builtinId="19"/>
    <cellStyle name="Input" xfId="2" builtinId="20"/>
    <cellStyle name="Normal" xfId="0" builtinId="0"/>
    <cellStyle name="Note" xfId="10" builtinId="10"/>
    <cellStyle name="Output" xfId="3" builtinId="21"/>
    <cellStyle name="Title" xfId="1" builtinId="1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AngleFunction!$A$20:$A$731</c:f>
              <c:numCache>
                <c:formatCode>General</c:formatCode>
                <c:ptCount val="712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0.12000000000000001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0.21999999999999997</c:v>
                </c:pt>
                <c:pt idx="12">
                  <c:v>0.23999999999999996</c:v>
                </c:pt>
                <c:pt idx="13">
                  <c:v>0.25999999999999995</c:v>
                </c:pt>
                <c:pt idx="14">
                  <c:v>0.27999999999999997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0.36000000000000004</c:v>
                </c:pt>
                <c:pt idx="19">
                  <c:v>0.38000000000000006</c:v>
                </c:pt>
                <c:pt idx="20">
                  <c:v>0.40000000000000008</c:v>
                </c:pt>
                <c:pt idx="21">
                  <c:v>0.4200000000000001</c:v>
                </c:pt>
                <c:pt idx="22">
                  <c:v>0.44000000000000011</c:v>
                </c:pt>
                <c:pt idx="23">
                  <c:v>0.46000000000000013</c:v>
                </c:pt>
                <c:pt idx="24">
                  <c:v>0.48000000000000015</c:v>
                </c:pt>
                <c:pt idx="25">
                  <c:v>0.50000000000000011</c:v>
                </c:pt>
                <c:pt idx="26">
                  <c:v>0.52000000000000013</c:v>
                </c:pt>
                <c:pt idx="27">
                  <c:v>0.54000000000000015</c:v>
                </c:pt>
                <c:pt idx="28">
                  <c:v>0.56000000000000016</c:v>
                </c:pt>
                <c:pt idx="29">
                  <c:v>0.58000000000000018</c:v>
                </c:pt>
                <c:pt idx="30">
                  <c:v>0.6000000000000002</c:v>
                </c:pt>
                <c:pt idx="31">
                  <c:v>0.62000000000000022</c:v>
                </c:pt>
                <c:pt idx="32">
                  <c:v>0.64000000000000024</c:v>
                </c:pt>
                <c:pt idx="33">
                  <c:v>0.66000000000000025</c:v>
                </c:pt>
                <c:pt idx="34">
                  <c:v>0.68000000000000027</c:v>
                </c:pt>
                <c:pt idx="35">
                  <c:v>0.70000000000000029</c:v>
                </c:pt>
                <c:pt idx="36">
                  <c:v>0.72000000000000031</c:v>
                </c:pt>
                <c:pt idx="37">
                  <c:v>0.74000000000000032</c:v>
                </c:pt>
                <c:pt idx="38">
                  <c:v>0.76000000000000034</c:v>
                </c:pt>
                <c:pt idx="39">
                  <c:v>0.78000000000000036</c:v>
                </c:pt>
                <c:pt idx="40">
                  <c:v>0.80000000000000038</c:v>
                </c:pt>
                <c:pt idx="41">
                  <c:v>0.8200000000000004</c:v>
                </c:pt>
                <c:pt idx="42">
                  <c:v>0.84000000000000041</c:v>
                </c:pt>
                <c:pt idx="43">
                  <c:v>0.86000000000000043</c:v>
                </c:pt>
                <c:pt idx="44">
                  <c:v>0.88000000000000045</c:v>
                </c:pt>
                <c:pt idx="45">
                  <c:v>0.90000000000000047</c:v>
                </c:pt>
                <c:pt idx="46">
                  <c:v>0.92000000000000048</c:v>
                </c:pt>
                <c:pt idx="47">
                  <c:v>0.9400000000000005</c:v>
                </c:pt>
                <c:pt idx="48">
                  <c:v>0.96000000000000052</c:v>
                </c:pt>
                <c:pt idx="49">
                  <c:v>0.98000000000000054</c:v>
                </c:pt>
                <c:pt idx="50">
                  <c:v>1.0000000000000004</c:v>
                </c:pt>
                <c:pt idx="51">
                  <c:v>1.0200000000000005</c:v>
                </c:pt>
                <c:pt idx="52">
                  <c:v>1.0400000000000005</c:v>
                </c:pt>
                <c:pt idx="53">
                  <c:v>1.0600000000000005</c:v>
                </c:pt>
                <c:pt idx="54">
                  <c:v>1.0800000000000005</c:v>
                </c:pt>
                <c:pt idx="55">
                  <c:v>1.1000000000000005</c:v>
                </c:pt>
                <c:pt idx="56">
                  <c:v>1.1200000000000006</c:v>
                </c:pt>
                <c:pt idx="57">
                  <c:v>1.1400000000000006</c:v>
                </c:pt>
                <c:pt idx="58">
                  <c:v>1.1600000000000006</c:v>
                </c:pt>
                <c:pt idx="59">
                  <c:v>1.1800000000000006</c:v>
                </c:pt>
                <c:pt idx="60">
                  <c:v>1.2000000000000006</c:v>
                </c:pt>
                <c:pt idx="61">
                  <c:v>1.2200000000000006</c:v>
                </c:pt>
                <c:pt idx="62">
                  <c:v>1.2400000000000007</c:v>
                </c:pt>
                <c:pt idx="63">
                  <c:v>1.2600000000000007</c:v>
                </c:pt>
                <c:pt idx="64">
                  <c:v>1.2800000000000007</c:v>
                </c:pt>
                <c:pt idx="65">
                  <c:v>1.3000000000000007</c:v>
                </c:pt>
                <c:pt idx="66">
                  <c:v>1.3200000000000007</c:v>
                </c:pt>
                <c:pt idx="67">
                  <c:v>1.3400000000000007</c:v>
                </c:pt>
                <c:pt idx="68">
                  <c:v>1.3600000000000008</c:v>
                </c:pt>
                <c:pt idx="69">
                  <c:v>1.3800000000000008</c:v>
                </c:pt>
                <c:pt idx="70">
                  <c:v>1.4000000000000008</c:v>
                </c:pt>
                <c:pt idx="71">
                  <c:v>1.4200000000000008</c:v>
                </c:pt>
                <c:pt idx="72">
                  <c:v>1.4400000000000008</c:v>
                </c:pt>
                <c:pt idx="73">
                  <c:v>1.4600000000000009</c:v>
                </c:pt>
                <c:pt idx="74">
                  <c:v>1.4800000000000009</c:v>
                </c:pt>
                <c:pt idx="75">
                  <c:v>1.5000000000000009</c:v>
                </c:pt>
                <c:pt idx="76">
                  <c:v>1.5200000000000009</c:v>
                </c:pt>
                <c:pt idx="77">
                  <c:v>1.5400000000000009</c:v>
                </c:pt>
                <c:pt idx="78">
                  <c:v>1.5600000000000009</c:v>
                </c:pt>
                <c:pt idx="79">
                  <c:v>1.580000000000001</c:v>
                </c:pt>
                <c:pt idx="80">
                  <c:v>1.600000000000001</c:v>
                </c:pt>
                <c:pt idx="81">
                  <c:v>1.620000000000001</c:v>
                </c:pt>
                <c:pt idx="82">
                  <c:v>1.640000000000001</c:v>
                </c:pt>
                <c:pt idx="83">
                  <c:v>1.660000000000001</c:v>
                </c:pt>
                <c:pt idx="84">
                  <c:v>1.680000000000001</c:v>
                </c:pt>
                <c:pt idx="85">
                  <c:v>1.7000000000000011</c:v>
                </c:pt>
                <c:pt idx="86">
                  <c:v>1.7200000000000011</c:v>
                </c:pt>
                <c:pt idx="87">
                  <c:v>1.7400000000000011</c:v>
                </c:pt>
                <c:pt idx="88">
                  <c:v>1.7600000000000011</c:v>
                </c:pt>
                <c:pt idx="89">
                  <c:v>1.7800000000000011</c:v>
                </c:pt>
                <c:pt idx="90">
                  <c:v>1.8000000000000012</c:v>
                </c:pt>
                <c:pt idx="91">
                  <c:v>1.8200000000000012</c:v>
                </c:pt>
                <c:pt idx="92">
                  <c:v>1.8400000000000012</c:v>
                </c:pt>
                <c:pt idx="93">
                  <c:v>1.8600000000000012</c:v>
                </c:pt>
                <c:pt idx="94">
                  <c:v>1.8800000000000012</c:v>
                </c:pt>
                <c:pt idx="95">
                  <c:v>1.9000000000000012</c:v>
                </c:pt>
                <c:pt idx="96">
                  <c:v>1.9200000000000013</c:v>
                </c:pt>
                <c:pt idx="97">
                  <c:v>1.9400000000000013</c:v>
                </c:pt>
                <c:pt idx="98">
                  <c:v>1.9600000000000013</c:v>
                </c:pt>
                <c:pt idx="99">
                  <c:v>1.9800000000000013</c:v>
                </c:pt>
                <c:pt idx="100">
                  <c:v>2.0000000000000013</c:v>
                </c:pt>
                <c:pt idx="101">
                  <c:v>2.0200000000000014</c:v>
                </c:pt>
                <c:pt idx="102">
                  <c:v>2.0400000000000014</c:v>
                </c:pt>
                <c:pt idx="103">
                  <c:v>2.0600000000000014</c:v>
                </c:pt>
                <c:pt idx="104">
                  <c:v>2.0800000000000014</c:v>
                </c:pt>
                <c:pt idx="105">
                  <c:v>2.1000000000000014</c:v>
                </c:pt>
                <c:pt idx="106">
                  <c:v>2.1200000000000014</c:v>
                </c:pt>
                <c:pt idx="107">
                  <c:v>2.1400000000000015</c:v>
                </c:pt>
                <c:pt idx="108">
                  <c:v>2.1600000000000015</c:v>
                </c:pt>
                <c:pt idx="109">
                  <c:v>2.1800000000000015</c:v>
                </c:pt>
                <c:pt idx="110">
                  <c:v>2.2000000000000015</c:v>
                </c:pt>
                <c:pt idx="111">
                  <c:v>2.2200000000000015</c:v>
                </c:pt>
                <c:pt idx="112">
                  <c:v>2.2400000000000015</c:v>
                </c:pt>
                <c:pt idx="113">
                  <c:v>2.2600000000000016</c:v>
                </c:pt>
                <c:pt idx="114">
                  <c:v>2.2800000000000016</c:v>
                </c:pt>
                <c:pt idx="115">
                  <c:v>2.3000000000000016</c:v>
                </c:pt>
                <c:pt idx="116">
                  <c:v>2.3200000000000016</c:v>
                </c:pt>
                <c:pt idx="117">
                  <c:v>2.3400000000000016</c:v>
                </c:pt>
                <c:pt idx="118">
                  <c:v>2.3600000000000017</c:v>
                </c:pt>
                <c:pt idx="119">
                  <c:v>2.3800000000000017</c:v>
                </c:pt>
                <c:pt idx="120">
                  <c:v>2.4000000000000017</c:v>
                </c:pt>
                <c:pt idx="121">
                  <c:v>2.4200000000000017</c:v>
                </c:pt>
                <c:pt idx="122">
                  <c:v>2.4400000000000017</c:v>
                </c:pt>
                <c:pt idx="123">
                  <c:v>2.4600000000000017</c:v>
                </c:pt>
                <c:pt idx="124">
                  <c:v>2.4800000000000018</c:v>
                </c:pt>
                <c:pt idx="125">
                  <c:v>2.5000000000000018</c:v>
                </c:pt>
                <c:pt idx="126">
                  <c:v>2.5200000000000018</c:v>
                </c:pt>
                <c:pt idx="127">
                  <c:v>2.5400000000000018</c:v>
                </c:pt>
                <c:pt idx="128">
                  <c:v>2.5600000000000018</c:v>
                </c:pt>
                <c:pt idx="129">
                  <c:v>2.5800000000000018</c:v>
                </c:pt>
                <c:pt idx="130">
                  <c:v>2.6000000000000019</c:v>
                </c:pt>
                <c:pt idx="131">
                  <c:v>2.6200000000000019</c:v>
                </c:pt>
                <c:pt idx="132">
                  <c:v>2.6400000000000019</c:v>
                </c:pt>
                <c:pt idx="133">
                  <c:v>2.6600000000000019</c:v>
                </c:pt>
                <c:pt idx="134">
                  <c:v>2.6800000000000019</c:v>
                </c:pt>
                <c:pt idx="135">
                  <c:v>2.700000000000002</c:v>
                </c:pt>
                <c:pt idx="136">
                  <c:v>2.720000000000002</c:v>
                </c:pt>
                <c:pt idx="137">
                  <c:v>2.740000000000002</c:v>
                </c:pt>
                <c:pt idx="138">
                  <c:v>2.760000000000002</c:v>
                </c:pt>
                <c:pt idx="139">
                  <c:v>2.780000000000002</c:v>
                </c:pt>
                <c:pt idx="140">
                  <c:v>2.800000000000002</c:v>
                </c:pt>
                <c:pt idx="141">
                  <c:v>2.8200000000000021</c:v>
                </c:pt>
                <c:pt idx="142">
                  <c:v>2.8400000000000021</c:v>
                </c:pt>
                <c:pt idx="143">
                  <c:v>2.8600000000000021</c:v>
                </c:pt>
                <c:pt idx="144">
                  <c:v>2.8800000000000021</c:v>
                </c:pt>
                <c:pt idx="145">
                  <c:v>2.9000000000000021</c:v>
                </c:pt>
                <c:pt idx="146">
                  <c:v>2.9200000000000021</c:v>
                </c:pt>
                <c:pt idx="147">
                  <c:v>2.9400000000000022</c:v>
                </c:pt>
                <c:pt idx="148">
                  <c:v>2.9600000000000022</c:v>
                </c:pt>
                <c:pt idx="149">
                  <c:v>2.9800000000000022</c:v>
                </c:pt>
                <c:pt idx="150">
                  <c:v>3.0000000000000022</c:v>
                </c:pt>
                <c:pt idx="151">
                  <c:v>3.0200000000000022</c:v>
                </c:pt>
                <c:pt idx="152">
                  <c:v>3.0400000000000023</c:v>
                </c:pt>
                <c:pt idx="153">
                  <c:v>3.0600000000000023</c:v>
                </c:pt>
                <c:pt idx="154">
                  <c:v>3.0800000000000023</c:v>
                </c:pt>
                <c:pt idx="155">
                  <c:v>3.1000000000000023</c:v>
                </c:pt>
                <c:pt idx="156">
                  <c:v>3.1200000000000023</c:v>
                </c:pt>
                <c:pt idx="157">
                  <c:v>3.1400000000000023</c:v>
                </c:pt>
                <c:pt idx="158">
                  <c:v>3.1600000000000024</c:v>
                </c:pt>
                <c:pt idx="159">
                  <c:v>3.1800000000000024</c:v>
                </c:pt>
                <c:pt idx="160">
                  <c:v>3.2000000000000024</c:v>
                </c:pt>
                <c:pt idx="161">
                  <c:v>3.2200000000000024</c:v>
                </c:pt>
                <c:pt idx="162">
                  <c:v>3.2400000000000024</c:v>
                </c:pt>
                <c:pt idx="163">
                  <c:v>3.2600000000000025</c:v>
                </c:pt>
                <c:pt idx="164">
                  <c:v>3.2800000000000025</c:v>
                </c:pt>
                <c:pt idx="165">
                  <c:v>3.3000000000000025</c:v>
                </c:pt>
                <c:pt idx="166">
                  <c:v>3.3200000000000025</c:v>
                </c:pt>
                <c:pt idx="167">
                  <c:v>3.3400000000000025</c:v>
                </c:pt>
                <c:pt idx="168">
                  <c:v>3.3600000000000025</c:v>
                </c:pt>
                <c:pt idx="169">
                  <c:v>3.3800000000000026</c:v>
                </c:pt>
                <c:pt idx="170">
                  <c:v>3.4000000000000026</c:v>
                </c:pt>
                <c:pt idx="171">
                  <c:v>3.4200000000000026</c:v>
                </c:pt>
                <c:pt idx="172">
                  <c:v>3.4400000000000026</c:v>
                </c:pt>
                <c:pt idx="173">
                  <c:v>3.4600000000000026</c:v>
                </c:pt>
                <c:pt idx="174">
                  <c:v>3.4800000000000026</c:v>
                </c:pt>
                <c:pt idx="175">
                  <c:v>3.5000000000000027</c:v>
                </c:pt>
                <c:pt idx="176">
                  <c:v>3.5200000000000027</c:v>
                </c:pt>
                <c:pt idx="177">
                  <c:v>3.5400000000000027</c:v>
                </c:pt>
                <c:pt idx="178">
                  <c:v>3.5600000000000027</c:v>
                </c:pt>
                <c:pt idx="179">
                  <c:v>3.5800000000000027</c:v>
                </c:pt>
                <c:pt idx="180">
                  <c:v>3.6000000000000028</c:v>
                </c:pt>
                <c:pt idx="181">
                  <c:v>3.6200000000000028</c:v>
                </c:pt>
                <c:pt idx="182">
                  <c:v>3.6400000000000028</c:v>
                </c:pt>
                <c:pt idx="183">
                  <c:v>3.6600000000000028</c:v>
                </c:pt>
                <c:pt idx="184">
                  <c:v>3.6800000000000028</c:v>
                </c:pt>
                <c:pt idx="185">
                  <c:v>3.7000000000000028</c:v>
                </c:pt>
                <c:pt idx="186">
                  <c:v>3.7200000000000029</c:v>
                </c:pt>
                <c:pt idx="187">
                  <c:v>3.7400000000000029</c:v>
                </c:pt>
                <c:pt idx="188">
                  <c:v>3.7600000000000029</c:v>
                </c:pt>
                <c:pt idx="189">
                  <c:v>3.7800000000000029</c:v>
                </c:pt>
                <c:pt idx="190">
                  <c:v>3.8000000000000029</c:v>
                </c:pt>
                <c:pt idx="191">
                  <c:v>3.8200000000000029</c:v>
                </c:pt>
                <c:pt idx="192">
                  <c:v>3.840000000000003</c:v>
                </c:pt>
                <c:pt idx="193">
                  <c:v>3.860000000000003</c:v>
                </c:pt>
                <c:pt idx="194">
                  <c:v>3.880000000000003</c:v>
                </c:pt>
                <c:pt idx="195">
                  <c:v>3.900000000000003</c:v>
                </c:pt>
                <c:pt idx="196">
                  <c:v>3.920000000000003</c:v>
                </c:pt>
                <c:pt idx="197">
                  <c:v>3.9400000000000031</c:v>
                </c:pt>
                <c:pt idx="198">
                  <c:v>3.9600000000000031</c:v>
                </c:pt>
                <c:pt idx="199">
                  <c:v>3.9800000000000031</c:v>
                </c:pt>
                <c:pt idx="200">
                  <c:v>4.0000000000000027</c:v>
                </c:pt>
                <c:pt idx="201">
                  <c:v>4.0200000000000022</c:v>
                </c:pt>
                <c:pt idx="202">
                  <c:v>4.0400000000000018</c:v>
                </c:pt>
                <c:pt idx="203">
                  <c:v>4.0600000000000014</c:v>
                </c:pt>
                <c:pt idx="204">
                  <c:v>4.080000000000001</c:v>
                </c:pt>
                <c:pt idx="205">
                  <c:v>4.1000000000000005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4.1599999999999993</c:v>
                </c:pt>
                <c:pt idx="209">
                  <c:v>4.1799999999999988</c:v>
                </c:pt>
                <c:pt idx="210">
                  <c:v>4.1999999999999984</c:v>
                </c:pt>
                <c:pt idx="211">
                  <c:v>4.219999999999998</c:v>
                </c:pt>
                <c:pt idx="212">
                  <c:v>4.2399999999999975</c:v>
                </c:pt>
                <c:pt idx="213">
                  <c:v>4.2599999999999971</c:v>
                </c:pt>
                <c:pt idx="214">
                  <c:v>4.2799999999999967</c:v>
                </c:pt>
                <c:pt idx="215">
                  <c:v>4.2999999999999963</c:v>
                </c:pt>
                <c:pt idx="216">
                  <c:v>4.3199999999999958</c:v>
                </c:pt>
                <c:pt idx="217">
                  <c:v>4.3399999999999954</c:v>
                </c:pt>
                <c:pt idx="218">
                  <c:v>4.359999999999995</c:v>
                </c:pt>
                <c:pt idx="219">
                  <c:v>4.3799999999999946</c:v>
                </c:pt>
                <c:pt idx="220">
                  <c:v>4.3999999999999941</c:v>
                </c:pt>
                <c:pt idx="221">
                  <c:v>4.4199999999999937</c:v>
                </c:pt>
                <c:pt idx="222">
                  <c:v>4.4399999999999933</c:v>
                </c:pt>
                <c:pt idx="223">
                  <c:v>4.4599999999999929</c:v>
                </c:pt>
                <c:pt idx="224">
                  <c:v>4.4799999999999924</c:v>
                </c:pt>
                <c:pt idx="225">
                  <c:v>4.499999999999992</c:v>
                </c:pt>
                <c:pt idx="226">
                  <c:v>4.5199999999999916</c:v>
                </c:pt>
                <c:pt idx="227">
                  <c:v>4.5399999999999912</c:v>
                </c:pt>
                <c:pt idx="228">
                  <c:v>4.5599999999999907</c:v>
                </c:pt>
                <c:pt idx="229">
                  <c:v>4.5799999999999903</c:v>
                </c:pt>
                <c:pt idx="230">
                  <c:v>4.5999999999999899</c:v>
                </c:pt>
                <c:pt idx="231">
                  <c:v>4.6199999999999894</c:v>
                </c:pt>
                <c:pt idx="232">
                  <c:v>4.639999999999989</c:v>
                </c:pt>
                <c:pt idx="233">
                  <c:v>4.6599999999999886</c:v>
                </c:pt>
                <c:pt idx="234">
                  <c:v>4.6799999999999882</c:v>
                </c:pt>
                <c:pt idx="235">
                  <c:v>4.6999999999999877</c:v>
                </c:pt>
                <c:pt idx="236">
                  <c:v>4.7199999999999873</c:v>
                </c:pt>
                <c:pt idx="237">
                  <c:v>4.7399999999999869</c:v>
                </c:pt>
                <c:pt idx="238">
                  <c:v>4.7599999999999865</c:v>
                </c:pt>
                <c:pt idx="239">
                  <c:v>4.779999999999986</c:v>
                </c:pt>
                <c:pt idx="240">
                  <c:v>4.7999999999999856</c:v>
                </c:pt>
                <c:pt idx="241">
                  <c:v>4.8199999999999852</c:v>
                </c:pt>
                <c:pt idx="242">
                  <c:v>4.8399999999999848</c:v>
                </c:pt>
                <c:pt idx="243">
                  <c:v>4.8599999999999843</c:v>
                </c:pt>
                <c:pt idx="244">
                  <c:v>4.8799999999999839</c:v>
                </c:pt>
                <c:pt idx="245">
                  <c:v>4.8999999999999835</c:v>
                </c:pt>
                <c:pt idx="246">
                  <c:v>4.9199999999999831</c:v>
                </c:pt>
                <c:pt idx="247">
                  <c:v>4.9399999999999826</c:v>
                </c:pt>
                <c:pt idx="248">
                  <c:v>4.9599999999999822</c:v>
                </c:pt>
                <c:pt idx="249">
                  <c:v>4.9799999999999818</c:v>
                </c:pt>
                <c:pt idx="250">
                  <c:v>4.9999999999999813</c:v>
                </c:pt>
                <c:pt idx="251">
                  <c:v>5.0199999999999809</c:v>
                </c:pt>
                <c:pt idx="252">
                  <c:v>5.0399999999999805</c:v>
                </c:pt>
                <c:pt idx="253">
                  <c:v>5.0599999999999801</c:v>
                </c:pt>
                <c:pt idx="254">
                  <c:v>5.0799999999999796</c:v>
                </c:pt>
                <c:pt idx="255">
                  <c:v>5.0999999999999792</c:v>
                </c:pt>
                <c:pt idx="256">
                  <c:v>5.1199999999999788</c:v>
                </c:pt>
                <c:pt idx="257">
                  <c:v>5.1399999999999784</c:v>
                </c:pt>
                <c:pt idx="258">
                  <c:v>5.1599999999999779</c:v>
                </c:pt>
                <c:pt idx="259">
                  <c:v>5.1799999999999775</c:v>
                </c:pt>
                <c:pt idx="260">
                  <c:v>5.1999999999999771</c:v>
                </c:pt>
                <c:pt idx="261">
                  <c:v>5.2199999999999767</c:v>
                </c:pt>
                <c:pt idx="262">
                  <c:v>5.2399999999999762</c:v>
                </c:pt>
                <c:pt idx="263">
                  <c:v>5.2599999999999758</c:v>
                </c:pt>
                <c:pt idx="264">
                  <c:v>5.2799999999999754</c:v>
                </c:pt>
                <c:pt idx="265">
                  <c:v>5.299999999999975</c:v>
                </c:pt>
                <c:pt idx="266">
                  <c:v>5.3199999999999745</c:v>
                </c:pt>
                <c:pt idx="267">
                  <c:v>5.3399999999999741</c:v>
                </c:pt>
                <c:pt idx="268">
                  <c:v>5.3599999999999737</c:v>
                </c:pt>
                <c:pt idx="269">
                  <c:v>5.3799999999999732</c:v>
                </c:pt>
                <c:pt idx="270">
                  <c:v>5.3999999999999728</c:v>
                </c:pt>
                <c:pt idx="271">
                  <c:v>5.4199999999999724</c:v>
                </c:pt>
                <c:pt idx="272">
                  <c:v>5.439999999999972</c:v>
                </c:pt>
                <c:pt idx="273">
                  <c:v>5.4599999999999715</c:v>
                </c:pt>
                <c:pt idx="274">
                  <c:v>5.4799999999999711</c:v>
                </c:pt>
                <c:pt idx="275">
                  <c:v>5.4999999999999707</c:v>
                </c:pt>
                <c:pt idx="276">
                  <c:v>5.5199999999999703</c:v>
                </c:pt>
                <c:pt idx="277">
                  <c:v>5.5399999999999698</c:v>
                </c:pt>
                <c:pt idx="278">
                  <c:v>5.5599999999999694</c:v>
                </c:pt>
                <c:pt idx="279">
                  <c:v>5.579999999999969</c:v>
                </c:pt>
                <c:pt idx="280">
                  <c:v>5.5999999999999686</c:v>
                </c:pt>
                <c:pt idx="281">
                  <c:v>5.6199999999999681</c:v>
                </c:pt>
                <c:pt idx="282">
                  <c:v>5.6399999999999677</c:v>
                </c:pt>
                <c:pt idx="283">
                  <c:v>5.6599999999999673</c:v>
                </c:pt>
                <c:pt idx="284">
                  <c:v>5.6799999999999669</c:v>
                </c:pt>
                <c:pt idx="285">
                  <c:v>5.6999999999999664</c:v>
                </c:pt>
                <c:pt idx="286">
                  <c:v>5.719999999999966</c:v>
                </c:pt>
                <c:pt idx="287">
                  <c:v>5.7399999999999656</c:v>
                </c:pt>
                <c:pt idx="288">
                  <c:v>5.7599999999999651</c:v>
                </c:pt>
                <c:pt idx="289">
                  <c:v>5.7799999999999647</c:v>
                </c:pt>
                <c:pt idx="290">
                  <c:v>5.7999999999999643</c:v>
                </c:pt>
                <c:pt idx="291">
                  <c:v>5.8199999999999639</c:v>
                </c:pt>
                <c:pt idx="292">
                  <c:v>5.8399999999999634</c:v>
                </c:pt>
                <c:pt idx="293">
                  <c:v>5.859999999999963</c:v>
                </c:pt>
                <c:pt idx="294">
                  <c:v>5.8799999999999626</c:v>
                </c:pt>
                <c:pt idx="295">
                  <c:v>5.8999999999999622</c:v>
                </c:pt>
                <c:pt idx="296">
                  <c:v>5.9199999999999617</c:v>
                </c:pt>
                <c:pt idx="297">
                  <c:v>5.9399999999999613</c:v>
                </c:pt>
                <c:pt idx="298">
                  <c:v>5.9599999999999609</c:v>
                </c:pt>
                <c:pt idx="299">
                  <c:v>5.9799999999999605</c:v>
                </c:pt>
                <c:pt idx="300">
                  <c:v>5.99999999999996</c:v>
                </c:pt>
                <c:pt idx="301">
                  <c:v>6.0199999999999596</c:v>
                </c:pt>
                <c:pt idx="302">
                  <c:v>6.0399999999999592</c:v>
                </c:pt>
                <c:pt idx="303">
                  <c:v>6.0599999999999588</c:v>
                </c:pt>
                <c:pt idx="304">
                  <c:v>6.0799999999999583</c:v>
                </c:pt>
                <c:pt idx="305">
                  <c:v>6.0999999999999579</c:v>
                </c:pt>
                <c:pt idx="306">
                  <c:v>6.1199999999999575</c:v>
                </c:pt>
                <c:pt idx="307">
                  <c:v>6.139999999999957</c:v>
                </c:pt>
                <c:pt idx="308">
                  <c:v>6.1599999999999566</c:v>
                </c:pt>
                <c:pt idx="309">
                  <c:v>6.1799999999999562</c:v>
                </c:pt>
                <c:pt idx="310">
                  <c:v>6.1999999999999558</c:v>
                </c:pt>
                <c:pt idx="311">
                  <c:v>6.2199999999999553</c:v>
                </c:pt>
                <c:pt idx="312">
                  <c:v>6.2399999999999549</c:v>
                </c:pt>
                <c:pt idx="313">
                  <c:v>6.2599999999999545</c:v>
                </c:pt>
                <c:pt idx="314">
                  <c:v>6.2799999999999541</c:v>
                </c:pt>
                <c:pt idx="315">
                  <c:v>6.2999999999999536</c:v>
                </c:pt>
                <c:pt idx="316">
                  <c:v>6.3199999999999532</c:v>
                </c:pt>
                <c:pt idx="317">
                  <c:v>6.3399999999999528</c:v>
                </c:pt>
                <c:pt idx="318">
                  <c:v>6.3599999999999524</c:v>
                </c:pt>
                <c:pt idx="319">
                  <c:v>6.3799999999999519</c:v>
                </c:pt>
                <c:pt idx="320">
                  <c:v>6.3999999999999515</c:v>
                </c:pt>
                <c:pt idx="321">
                  <c:v>6.4199999999999511</c:v>
                </c:pt>
                <c:pt idx="322">
                  <c:v>6.4399999999999507</c:v>
                </c:pt>
                <c:pt idx="323">
                  <c:v>6.4599999999999502</c:v>
                </c:pt>
                <c:pt idx="324">
                  <c:v>6.4799999999999498</c:v>
                </c:pt>
                <c:pt idx="325">
                  <c:v>6.4999999999999494</c:v>
                </c:pt>
                <c:pt idx="326">
                  <c:v>6.5199999999999489</c:v>
                </c:pt>
                <c:pt idx="327">
                  <c:v>6.5399999999999485</c:v>
                </c:pt>
                <c:pt idx="328">
                  <c:v>6.5599999999999481</c:v>
                </c:pt>
                <c:pt idx="329">
                  <c:v>6.5799999999999477</c:v>
                </c:pt>
                <c:pt idx="330">
                  <c:v>6.5999999999999472</c:v>
                </c:pt>
                <c:pt idx="331">
                  <c:v>6.6199999999999468</c:v>
                </c:pt>
                <c:pt idx="332">
                  <c:v>6.6399999999999464</c:v>
                </c:pt>
                <c:pt idx="333">
                  <c:v>6.659999999999946</c:v>
                </c:pt>
                <c:pt idx="334">
                  <c:v>6.6799999999999455</c:v>
                </c:pt>
                <c:pt idx="335">
                  <c:v>6.6999999999999451</c:v>
                </c:pt>
                <c:pt idx="336">
                  <c:v>6.7199999999999447</c:v>
                </c:pt>
                <c:pt idx="337">
                  <c:v>6.7399999999999443</c:v>
                </c:pt>
                <c:pt idx="338">
                  <c:v>6.7599999999999438</c:v>
                </c:pt>
                <c:pt idx="339">
                  <c:v>6.7799999999999434</c:v>
                </c:pt>
                <c:pt idx="340">
                  <c:v>6.799999999999943</c:v>
                </c:pt>
                <c:pt idx="341">
                  <c:v>6.8199999999999426</c:v>
                </c:pt>
                <c:pt idx="342">
                  <c:v>6.8399999999999421</c:v>
                </c:pt>
                <c:pt idx="343">
                  <c:v>6.8599999999999417</c:v>
                </c:pt>
                <c:pt idx="344">
                  <c:v>6.8799999999999413</c:v>
                </c:pt>
                <c:pt idx="345">
                  <c:v>6.8999999999999408</c:v>
                </c:pt>
                <c:pt idx="346">
                  <c:v>6.9199999999999404</c:v>
                </c:pt>
                <c:pt idx="347">
                  <c:v>6.93999999999994</c:v>
                </c:pt>
                <c:pt idx="348">
                  <c:v>6.9599999999999396</c:v>
                </c:pt>
                <c:pt idx="349">
                  <c:v>6.9799999999999391</c:v>
                </c:pt>
                <c:pt idx="350">
                  <c:v>6.9999999999999387</c:v>
                </c:pt>
                <c:pt idx="351">
                  <c:v>7.0199999999999383</c:v>
                </c:pt>
                <c:pt idx="352">
                  <c:v>7.0399999999999379</c:v>
                </c:pt>
                <c:pt idx="353">
                  <c:v>7.0599999999999374</c:v>
                </c:pt>
                <c:pt idx="354">
                  <c:v>7.079999999999937</c:v>
                </c:pt>
                <c:pt idx="355">
                  <c:v>7.0999999999999366</c:v>
                </c:pt>
                <c:pt idx="356">
                  <c:v>7.1199999999999362</c:v>
                </c:pt>
                <c:pt idx="357">
                  <c:v>7.1399999999999357</c:v>
                </c:pt>
                <c:pt idx="358">
                  <c:v>7.1599999999999353</c:v>
                </c:pt>
                <c:pt idx="359">
                  <c:v>7.1799999999999349</c:v>
                </c:pt>
                <c:pt idx="360">
                  <c:v>7.1999999999999345</c:v>
                </c:pt>
                <c:pt idx="361">
                  <c:v>7.219999999999934</c:v>
                </c:pt>
                <c:pt idx="362">
                  <c:v>7.2399999999999336</c:v>
                </c:pt>
                <c:pt idx="363">
                  <c:v>7.2599999999999332</c:v>
                </c:pt>
                <c:pt idx="364">
                  <c:v>7.2799999999999327</c:v>
                </c:pt>
                <c:pt idx="365">
                  <c:v>7.2999999999999323</c:v>
                </c:pt>
                <c:pt idx="366">
                  <c:v>7.3199999999999319</c:v>
                </c:pt>
                <c:pt idx="367">
                  <c:v>7.3399999999999315</c:v>
                </c:pt>
                <c:pt idx="368">
                  <c:v>7.359999999999931</c:v>
                </c:pt>
                <c:pt idx="369">
                  <c:v>7.3799999999999306</c:v>
                </c:pt>
                <c:pt idx="370">
                  <c:v>7.3999999999999302</c:v>
                </c:pt>
                <c:pt idx="371">
                  <c:v>7.4199999999999298</c:v>
                </c:pt>
                <c:pt idx="372">
                  <c:v>7.4399999999999293</c:v>
                </c:pt>
                <c:pt idx="373">
                  <c:v>7.4599999999999289</c:v>
                </c:pt>
                <c:pt idx="374">
                  <c:v>7.4799999999999285</c:v>
                </c:pt>
                <c:pt idx="375">
                  <c:v>7.4999999999999281</c:v>
                </c:pt>
                <c:pt idx="376">
                  <c:v>7.5199999999999276</c:v>
                </c:pt>
                <c:pt idx="377">
                  <c:v>7.5399999999999272</c:v>
                </c:pt>
                <c:pt idx="378">
                  <c:v>7.5599999999999268</c:v>
                </c:pt>
                <c:pt idx="379">
                  <c:v>7.5799999999999264</c:v>
                </c:pt>
                <c:pt idx="380">
                  <c:v>7.5999999999999259</c:v>
                </c:pt>
                <c:pt idx="381">
                  <c:v>7.6199999999999255</c:v>
                </c:pt>
                <c:pt idx="382">
                  <c:v>7.6399999999999251</c:v>
                </c:pt>
                <c:pt idx="383">
                  <c:v>7.6599999999999246</c:v>
                </c:pt>
                <c:pt idx="384">
                  <c:v>7.6799999999999242</c:v>
                </c:pt>
                <c:pt idx="385">
                  <c:v>7.6999999999999238</c:v>
                </c:pt>
                <c:pt idx="386">
                  <c:v>7.7199999999999234</c:v>
                </c:pt>
                <c:pt idx="387">
                  <c:v>7.7399999999999229</c:v>
                </c:pt>
                <c:pt idx="388">
                  <c:v>7.7599999999999225</c:v>
                </c:pt>
                <c:pt idx="389">
                  <c:v>7.7799999999999221</c:v>
                </c:pt>
                <c:pt idx="390">
                  <c:v>7.7999999999999217</c:v>
                </c:pt>
                <c:pt idx="391">
                  <c:v>7.8199999999999212</c:v>
                </c:pt>
                <c:pt idx="392">
                  <c:v>7.8399999999999208</c:v>
                </c:pt>
                <c:pt idx="393">
                  <c:v>7.8599999999999204</c:v>
                </c:pt>
                <c:pt idx="394">
                  <c:v>7.87999999999992</c:v>
                </c:pt>
                <c:pt idx="395">
                  <c:v>7.8999999999999195</c:v>
                </c:pt>
                <c:pt idx="396">
                  <c:v>7.9199999999999191</c:v>
                </c:pt>
                <c:pt idx="397">
                  <c:v>7.9399999999999187</c:v>
                </c:pt>
                <c:pt idx="398">
                  <c:v>7.9599999999999183</c:v>
                </c:pt>
                <c:pt idx="399">
                  <c:v>7.9799999999999178</c:v>
                </c:pt>
                <c:pt idx="400">
                  <c:v>7.9999999999999174</c:v>
                </c:pt>
                <c:pt idx="401">
                  <c:v>8.0199999999999179</c:v>
                </c:pt>
                <c:pt idx="402">
                  <c:v>8.0399999999999174</c:v>
                </c:pt>
                <c:pt idx="403">
                  <c:v>8.059999999999917</c:v>
                </c:pt>
                <c:pt idx="404">
                  <c:v>8.0799999999999166</c:v>
                </c:pt>
                <c:pt idx="405">
                  <c:v>8.0999999999999162</c:v>
                </c:pt>
                <c:pt idx="406">
                  <c:v>8.1199999999999157</c:v>
                </c:pt>
                <c:pt idx="407">
                  <c:v>8.1399999999999153</c:v>
                </c:pt>
                <c:pt idx="408">
                  <c:v>8.1599999999999149</c:v>
                </c:pt>
                <c:pt idx="409">
                  <c:v>8.1799999999999145</c:v>
                </c:pt>
                <c:pt idx="410">
                  <c:v>8.199999999999914</c:v>
                </c:pt>
                <c:pt idx="411">
                  <c:v>8.2199999999999136</c:v>
                </c:pt>
                <c:pt idx="412">
                  <c:v>8.2399999999999132</c:v>
                </c:pt>
                <c:pt idx="413">
                  <c:v>8.2599999999999127</c:v>
                </c:pt>
                <c:pt idx="414">
                  <c:v>8.2799999999999123</c:v>
                </c:pt>
                <c:pt idx="415">
                  <c:v>8.2999999999999119</c:v>
                </c:pt>
                <c:pt idx="416">
                  <c:v>8.3199999999999115</c:v>
                </c:pt>
                <c:pt idx="417">
                  <c:v>8.339999999999911</c:v>
                </c:pt>
                <c:pt idx="418">
                  <c:v>8.3599999999999106</c:v>
                </c:pt>
                <c:pt idx="419">
                  <c:v>8.3799999999999102</c:v>
                </c:pt>
                <c:pt idx="420">
                  <c:v>8.3999999999999098</c:v>
                </c:pt>
                <c:pt idx="421">
                  <c:v>8.4199999999999093</c:v>
                </c:pt>
                <c:pt idx="422">
                  <c:v>8.4399999999999089</c:v>
                </c:pt>
                <c:pt idx="423">
                  <c:v>8.4599999999999085</c:v>
                </c:pt>
                <c:pt idx="424">
                  <c:v>8.4799999999999081</c:v>
                </c:pt>
                <c:pt idx="425">
                  <c:v>8.4999999999999076</c:v>
                </c:pt>
                <c:pt idx="426">
                  <c:v>8.5199999999999072</c:v>
                </c:pt>
                <c:pt idx="427">
                  <c:v>8.5399999999999068</c:v>
                </c:pt>
                <c:pt idx="428">
                  <c:v>8.5599999999999064</c:v>
                </c:pt>
                <c:pt idx="429">
                  <c:v>8.5799999999999059</c:v>
                </c:pt>
                <c:pt idx="430">
                  <c:v>8.5999999999999055</c:v>
                </c:pt>
                <c:pt idx="431">
                  <c:v>8.6199999999999051</c:v>
                </c:pt>
                <c:pt idx="432">
                  <c:v>8.6399999999999046</c:v>
                </c:pt>
                <c:pt idx="433">
                  <c:v>8.6599999999999042</c:v>
                </c:pt>
                <c:pt idx="434">
                  <c:v>8.6799999999999038</c:v>
                </c:pt>
                <c:pt idx="435">
                  <c:v>8.6999999999999034</c:v>
                </c:pt>
                <c:pt idx="436">
                  <c:v>8.7199999999999029</c:v>
                </c:pt>
                <c:pt idx="437">
                  <c:v>8.7399999999999025</c:v>
                </c:pt>
                <c:pt idx="438">
                  <c:v>8.7599999999999021</c:v>
                </c:pt>
                <c:pt idx="439">
                  <c:v>8.7799999999999017</c:v>
                </c:pt>
                <c:pt idx="440">
                  <c:v>8.7999999999999012</c:v>
                </c:pt>
                <c:pt idx="441">
                  <c:v>8.8199999999999008</c:v>
                </c:pt>
                <c:pt idx="442">
                  <c:v>8.8399999999999004</c:v>
                </c:pt>
                <c:pt idx="443">
                  <c:v>8.8599999999999</c:v>
                </c:pt>
                <c:pt idx="444">
                  <c:v>8.8799999999998995</c:v>
                </c:pt>
                <c:pt idx="445">
                  <c:v>8.8999999999998991</c:v>
                </c:pt>
                <c:pt idx="446">
                  <c:v>8.9199999999998987</c:v>
                </c:pt>
                <c:pt idx="447">
                  <c:v>8.9399999999998983</c:v>
                </c:pt>
                <c:pt idx="448">
                  <c:v>8.9599999999998978</c:v>
                </c:pt>
                <c:pt idx="449">
                  <c:v>8.9799999999998974</c:v>
                </c:pt>
                <c:pt idx="450">
                  <c:v>8.999999999999897</c:v>
                </c:pt>
                <c:pt idx="451">
                  <c:v>9.0199999999998965</c:v>
                </c:pt>
                <c:pt idx="452">
                  <c:v>9.0399999999998961</c:v>
                </c:pt>
                <c:pt idx="453">
                  <c:v>9.0599999999998957</c:v>
                </c:pt>
                <c:pt idx="454">
                  <c:v>9.0799999999998953</c:v>
                </c:pt>
                <c:pt idx="455">
                  <c:v>9.0999999999998948</c:v>
                </c:pt>
                <c:pt idx="456">
                  <c:v>9.1199999999998944</c:v>
                </c:pt>
                <c:pt idx="457">
                  <c:v>9.139999999999894</c:v>
                </c:pt>
                <c:pt idx="458">
                  <c:v>9.1599999999998936</c:v>
                </c:pt>
                <c:pt idx="459">
                  <c:v>9.1799999999998931</c:v>
                </c:pt>
                <c:pt idx="460">
                  <c:v>9.1999999999998927</c:v>
                </c:pt>
                <c:pt idx="461">
                  <c:v>9.2199999999998923</c:v>
                </c:pt>
                <c:pt idx="462">
                  <c:v>9.2399999999998919</c:v>
                </c:pt>
                <c:pt idx="463">
                  <c:v>9.2599999999998914</c:v>
                </c:pt>
                <c:pt idx="464">
                  <c:v>9.279999999999891</c:v>
                </c:pt>
                <c:pt idx="465">
                  <c:v>9.2999999999998906</c:v>
                </c:pt>
                <c:pt idx="466">
                  <c:v>9.3199999999998902</c:v>
                </c:pt>
                <c:pt idx="467">
                  <c:v>9.3399999999998897</c:v>
                </c:pt>
                <c:pt idx="468">
                  <c:v>9.3599999999998893</c:v>
                </c:pt>
                <c:pt idx="469">
                  <c:v>9.3799999999998889</c:v>
                </c:pt>
                <c:pt idx="470">
                  <c:v>9.3999999999998884</c:v>
                </c:pt>
                <c:pt idx="471">
                  <c:v>9.419999999999888</c:v>
                </c:pt>
                <c:pt idx="472">
                  <c:v>9.4399999999998876</c:v>
                </c:pt>
                <c:pt idx="473">
                  <c:v>9.4599999999998872</c:v>
                </c:pt>
                <c:pt idx="474">
                  <c:v>9.4799999999998867</c:v>
                </c:pt>
                <c:pt idx="475">
                  <c:v>9.4999999999998863</c:v>
                </c:pt>
                <c:pt idx="476">
                  <c:v>9.5199999999998859</c:v>
                </c:pt>
                <c:pt idx="477">
                  <c:v>9.5399999999998855</c:v>
                </c:pt>
                <c:pt idx="478">
                  <c:v>9.559999999999885</c:v>
                </c:pt>
                <c:pt idx="479">
                  <c:v>9.5799999999998846</c:v>
                </c:pt>
                <c:pt idx="480">
                  <c:v>9.5999999999998842</c:v>
                </c:pt>
                <c:pt idx="481">
                  <c:v>9.6199999999998838</c:v>
                </c:pt>
                <c:pt idx="482">
                  <c:v>9.6399999999998833</c:v>
                </c:pt>
                <c:pt idx="483">
                  <c:v>9.6599999999998829</c:v>
                </c:pt>
                <c:pt idx="484">
                  <c:v>9.6799999999998825</c:v>
                </c:pt>
                <c:pt idx="485">
                  <c:v>9.699999999999882</c:v>
                </c:pt>
                <c:pt idx="486">
                  <c:v>9.7199999999998816</c:v>
                </c:pt>
                <c:pt idx="487">
                  <c:v>9.7399999999998812</c:v>
                </c:pt>
                <c:pt idx="488">
                  <c:v>9.7599999999998808</c:v>
                </c:pt>
                <c:pt idx="489">
                  <c:v>9.7799999999998803</c:v>
                </c:pt>
                <c:pt idx="490">
                  <c:v>9.7999999999998799</c:v>
                </c:pt>
                <c:pt idx="491">
                  <c:v>9.8199999999998795</c:v>
                </c:pt>
                <c:pt idx="492">
                  <c:v>9.8399999999998791</c:v>
                </c:pt>
                <c:pt idx="493">
                  <c:v>9.8599999999998786</c:v>
                </c:pt>
                <c:pt idx="494">
                  <c:v>9.8799999999998782</c:v>
                </c:pt>
                <c:pt idx="495">
                  <c:v>9.8999999999998778</c:v>
                </c:pt>
                <c:pt idx="496">
                  <c:v>9.9199999999998774</c:v>
                </c:pt>
                <c:pt idx="497">
                  <c:v>9.9399999999998769</c:v>
                </c:pt>
                <c:pt idx="498">
                  <c:v>9.9599999999998765</c:v>
                </c:pt>
                <c:pt idx="499">
                  <c:v>9.9799999999998761</c:v>
                </c:pt>
                <c:pt idx="500">
                  <c:v>9.9999999999998757</c:v>
                </c:pt>
                <c:pt idx="501">
                  <c:v>10.019999999999875</c:v>
                </c:pt>
                <c:pt idx="502">
                  <c:v>10.039999999999875</c:v>
                </c:pt>
                <c:pt idx="503">
                  <c:v>10.059999999999874</c:v>
                </c:pt>
                <c:pt idx="504">
                  <c:v>10.079999999999874</c:v>
                </c:pt>
                <c:pt idx="505">
                  <c:v>10.099999999999874</c:v>
                </c:pt>
                <c:pt idx="506">
                  <c:v>10.119999999999873</c:v>
                </c:pt>
                <c:pt idx="507">
                  <c:v>10.139999999999873</c:v>
                </c:pt>
                <c:pt idx="508">
                  <c:v>10.159999999999872</c:v>
                </c:pt>
                <c:pt idx="509">
                  <c:v>10.179999999999872</c:v>
                </c:pt>
                <c:pt idx="510">
                  <c:v>10.199999999999871</c:v>
                </c:pt>
                <c:pt idx="511">
                  <c:v>10.219999999999871</c:v>
                </c:pt>
                <c:pt idx="512">
                  <c:v>10.239999999999871</c:v>
                </c:pt>
                <c:pt idx="513">
                  <c:v>10.25999999999987</c:v>
                </c:pt>
                <c:pt idx="514">
                  <c:v>10.27999999999987</c:v>
                </c:pt>
                <c:pt idx="515">
                  <c:v>10.299999999999869</c:v>
                </c:pt>
                <c:pt idx="516">
                  <c:v>10.319999999999869</c:v>
                </c:pt>
                <c:pt idx="517">
                  <c:v>10.339999999999868</c:v>
                </c:pt>
                <c:pt idx="518">
                  <c:v>10.359999999999868</c:v>
                </c:pt>
                <c:pt idx="519">
                  <c:v>10.379999999999868</c:v>
                </c:pt>
                <c:pt idx="520">
                  <c:v>10.399999999999867</c:v>
                </c:pt>
                <c:pt idx="521">
                  <c:v>10.419999999999867</c:v>
                </c:pt>
                <c:pt idx="522">
                  <c:v>10.439999999999866</c:v>
                </c:pt>
                <c:pt idx="523">
                  <c:v>10.459999999999866</c:v>
                </c:pt>
                <c:pt idx="524">
                  <c:v>10.479999999999865</c:v>
                </c:pt>
                <c:pt idx="525">
                  <c:v>10.499999999999865</c:v>
                </c:pt>
                <c:pt idx="526">
                  <c:v>10.519999999999865</c:v>
                </c:pt>
                <c:pt idx="527">
                  <c:v>10.539999999999864</c:v>
                </c:pt>
                <c:pt idx="528">
                  <c:v>10.559999999999864</c:v>
                </c:pt>
                <c:pt idx="529">
                  <c:v>10.579999999999863</c:v>
                </c:pt>
                <c:pt idx="530">
                  <c:v>10.599999999999863</c:v>
                </c:pt>
                <c:pt idx="531">
                  <c:v>10.619999999999862</c:v>
                </c:pt>
                <c:pt idx="532">
                  <c:v>10.639999999999862</c:v>
                </c:pt>
                <c:pt idx="533">
                  <c:v>10.659999999999862</c:v>
                </c:pt>
                <c:pt idx="534">
                  <c:v>10.679999999999861</c:v>
                </c:pt>
                <c:pt idx="535">
                  <c:v>10.699999999999861</c:v>
                </c:pt>
                <c:pt idx="536">
                  <c:v>10.71999999999986</c:v>
                </c:pt>
                <c:pt idx="537">
                  <c:v>10.73999999999986</c:v>
                </c:pt>
                <c:pt idx="538">
                  <c:v>10.759999999999859</c:v>
                </c:pt>
                <c:pt idx="539">
                  <c:v>10.779999999999859</c:v>
                </c:pt>
                <c:pt idx="540">
                  <c:v>10.799999999999859</c:v>
                </c:pt>
                <c:pt idx="541">
                  <c:v>10.819999999999858</c:v>
                </c:pt>
                <c:pt idx="542">
                  <c:v>10.839999999999858</c:v>
                </c:pt>
                <c:pt idx="543">
                  <c:v>10.859999999999857</c:v>
                </c:pt>
                <c:pt idx="544">
                  <c:v>10.879999999999857</c:v>
                </c:pt>
                <c:pt idx="545">
                  <c:v>10.899999999999856</c:v>
                </c:pt>
                <c:pt idx="546">
                  <c:v>10.919999999999856</c:v>
                </c:pt>
                <c:pt idx="547">
                  <c:v>10.939999999999856</c:v>
                </c:pt>
                <c:pt idx="548">
                  <c:v>10.959999999999855</c:v>
                </c:pt>
                <c:pt idx="549">
                  <c:v>10.979999999999855</c:v>
                </c:pt>
                <c:pt idx="550">
                  <c:v>10.999999999999854</c:v>
                </c:pt>
                <c:pt idx="551">
                  <c:v>11.019999999999854</c:v>
                </c:pt>
                <c:pt idx="552">
                  <c:v>11.039999999999853</c:v>
                </c:pt>
                <c:pt idx="553">
                  <c:v>11.059999999999853</c:v>
                </c:pt>
                <c:pt idx="554">
                  <c:v>11.079999999999853</c:v>
                </c:pt>
                <c:pt idx="555">
                  <c:v>11.099999999999852</c:v>
                </c:pt>
                <c:pt idx="556">
                  <c:v>11.119999999999852</c:v>
                </c:pt>
                <c:pt idx="557">
                  <c:v>11.139999999999851</c:v>
                </c:pt>
                <c:pt idx="558">
                  <c:v>11.159999999999851</c:v>
                </c:pt>
                <c:pt idx="559">
                  <c:v>11.179999999999851</c:v>
                </c:pt>
                <c:pt idx="560">
                  <c:v>11.19999999999985</c:v>
                </c:pt>
                <c:pt idx="561">
                  <c:v>11.21999999999985</c:v>
                </c:pt>
                <c:pt idx="562">
                  <c:v>11.239999999999849</c:v>
                </c:pt>
                <c:pt idx="563">
                  <c:v>11.259999999999849</c:v>
                </c:pt>
                <c:pt idx="564">
                  <c:v>11.279999999999848</c:v>
                </c:pt>
                <c:pt idx="565">
                  <c:v>11.299999999999848</c:v>
                </c:pt>
                <c:pt idx="566">
                  <c:v>11.319999999999848</c:v>
                </c:pt>
                <c:pt idx="567">
                  <c:v>11.339999999999847</c:v>
                </c:pt>
                <c:pt idx="568">
                  <c:v>11.359999999999847</c:v>
                </c:pt>
                <c:pt idx="569">
                  <c:v>11.379999999999846</c:v>
                </c:pt>
                <c:pt idx="570">
                  <c:v>11.399999999999846</c:v>
                </c:pt>
                <c:pt idx="571">
                  <c:v>11.419999999999845</c:v>
                </c:pt>
                <c:pt idx="572">
                  <c:v>11.439999999999845</c:v>
                </c:pt>
                <c:pt idx="573">
                  <c:v>11.459999999999845</c:v>
                </c:pt>
                <c:pt idx="574">
                  <c:v>11.479999999999844</c:v>
                </c:pt>
                <c:pt idx="575">
                  <c:v>11.499999999999844</c:v>
                </c:pt>
                <c:pt idx="576">
                  <c:v>11.519999999999843</c:v>
                </c:pt>
                <c:pt idx="577">
                  <c:v>11.539999999999843</c:v>
                </c:pt>
                <c:pt idx="578">
                  <c:v>11.559999999999842</c:v>
                </c:pt>
                <c:pt idx="579">
                  <c:v>11.579999999999842</c:v>
                </c:pt>
                <c:pt idx="580">
                  <c:v>11.599999999999842</c:v>
                </c:pt>
                <c:pt idx="581">
                  <c:v>11.619999999999841</c:v>
                </c:pt>
                <c:pt idx="582">
                  <c:v>11.639999999999841</c:v>
                </c:pt>
                <c:pt idx="583">
                  <c:v>11.65999999999984</c:v>
                </c:pt>
                <c:pt idx="584">
                  <c:v>11.67999999999984</c:v>
                </c:pt>
                <c:pt idx="585">
                  <c:v>11.699999999999839</c:v>
                </c:pt>
                <c:pt idx="586">
                  <c:v>11.719999999999839</c:v>
                </c:pt>
                <c:pt idx="587">
                  <c:v>11.739999999999839</c:v>
                </c:pt>
                <c:pt idx="588">
                  <c:v>11.759999999999838</c:v>
                </c:pt>
                <c:pt idx="589">
                  <c:v>11.779999999999838</c:v>
                </c:pt>
                <c:pt idx="590">
                  <c:v>11.799999999999837</c:v>
                </c:pt>
                <c:pt idx="591">
                  <c:v>11.819999999999837</c:v>
                </c:pt>
                <c:pt idx="592">
                  <c:v>11.839999999999836</c:v>
                </c:pt>
                <c:pt idx="593">
                  <c:v>11.859999999999836</c:v>
                </c:pt>
                <c:pt idx="594">
                  <c:v>11.879999999999836</c:v>
                </c:pt>
                <c:pt idx="595">
                  <c:v>11.899999999999835</c:v>
                </c:pt>
                <c:pt idx="596">
                  <c:v>11.919999999999835</c:v>
                </c:pt>
                <c:pt idx="597">
                  <c:v>11.939999999999834</c:v>
                </c:pt>
                <c:pt idx="598">
                  <c:v>11.959999999999834</c:v>
                </c:pt>
                <c:pt idx="599">
                  <c:v>11.979999999999833</c:v>
                </c:pt>
                <c:pt idx="600">
                  <c:v>11.999999999999833</c:v>
                </c:pt>
                <c:pt idx="601">
                  <c:v>12.019999999999833</c:v>
                </c:pt>
                <c:pt idx="602">
                  <c:v>12.039999999999832</c:v>
                </c:pt>
                <c:pt idx="603">
                  <c:v>12.059999999999832</c:v>
                </c:pt>
                <c:pt idx="604">
                  <c:v>12.079999999999831</c:v>
                </c:pt>
                <c:pt idx="605">
                  <c:v>12.099999999999831</c:v>
                </c:pt>
                <c:pt idx="606">
                  <c:v>12.11999999999983</c:v>
                </c:pt>
                <c:pt idx="607">
                  <c:v>12.13999999999983</c:v>
                </c:pt>
                <c:pt idx="608">
                  <c:v>12.15999999999983</c:v>
                </c:pt>
                <c:pt idx="609">
                  <c:v>12.179999999999829</c:v>
                </c:pt>
                <c:pt idx="610">
                  <c:v>12.199999999999829</c:v>
                </c:pt>
                <c:pt idx="611">
                  <c:v>12.219999999999828</c:v>
                </c:pt>
                <c:pt idx="612">
                  <c:v>12.239999999999828</c:v>
                </c:pt>
                <c:pt idx="613">
                  <c:v>12.259999999999827</c:v>
                </c:pt>
                <c:pt idx="614">
                  <c:v>12.279999999999827</c:v>
                </c:pt>
                <c:pt idx="615">
                  <c:v>12.299999999999827</c:v>
                </c:pt>
                <c:pt idx="616">
                  <c:v>12.319999999999826</c:v>
                </c:pt>
                <c:pt idx="617">
                  <c:v>12.339999999999826</c:v>
                </c:pt>
                <c:pt idx="618">
                  <c:v>12.359999999999825</c:v>
                </c:pt>
                <c:pt idx="619">
                  <c:v>12.379999999999825</c:v>
                </c:pt>
                <c:pt idx="620">
                  <c:v>12.399999999999824</c:v>
                </c:pt>
                <c:pt idx="621">
                  <c:v>12.419999999999824</c:v>
                </c:pt>
                <c:pt idx="622">
                  <c:v>12.439999999999824</c:v>
                </c:pt>
                <c:pt idx="623">
                  <c:v>12.459999999999823</c:v>
                </c:pt>
                <c:pt idx="624">
                  <c:v>12.479999999999823</c:v>
                </c:pt>
                <c:pt idx="625">
                  <c:v>12.499999999999822</c:v>
                </c:pt>
                <c:pt idx="626">
                  <c:v>12.519999999999822</c:v>
                </c:pt>
                <c:pt idx="627">
                  <c:v>12.539999999999822</c:v>
                </c:pt>
                <c:pt idx="628">
                  <c:v>12.559999999999821</c:v>
                </c:pt>
                <c:pt idx="629">
                  <c:v>12.579999999999821</c:v>
                </c:pt>
                <c:pt idx="630">
                  <c:v>12.59999999999982</c:v>
                </c:pt>
                <c:pt idx="631">
                  <c:v>12.61999999999982</c:v>
                </c:pt>
                <c:pt idx="632">
                  <c:v>12.639999999999819</c:v>
                </c:pt>
                <c:pt idx="633">
                  <c:v>12.659999999999819</c:v>
                </c:pt>
                <c:pt idx="634">
                  <c:v>12.679999999999819</c:v>
                </c:pt>
                <c:pt idx="635">
                  <c:v>12.699999999999818</c:v>
                </c:pt>
                <c:pt idx="636">
                  <c:v>12.719999999999818</c:v>
                </c:pt>
                <c:pt idx="637">
                  <c:v>12.739999999999817</c:v>
                </c:pt>
                <c:pt idx="638">
                  <c:v>12.759999999999817</c:v>
                </c:pt>
                <c:pt idx="639">
                  <c:v>12.779999999999816</c:v>
                </c:pt>
                <c:pt idx="640">
                  <c:v>12.799999999999816</c:v>
                </c:pt>
                <c:pt idx="641">
                  <c:v>12.819999999999816</c:v>
                </c:pt>
                <c:pt idx="642">
                  <c:v>12.839999999999815</c:v>
                </c:pt>
                <c:pt idx="643">
                  <c:v>12.859999999999815</c:v>
                </c:pt>
                <c:pt idx="644">
                  <c:v>12.879999999999814</c:v>
                </c:pt>
                <c:pt idx="645">
                  <c:v>12.899999999999814</c:v>
                </c:pt>
                <c:pt idx="646">
                  <c:v>12.919999999999813</c:v>
                </c:pt>
                <c:pt idx="647">
                  <c:v>12.939999999999813</c:v>
                </c:pt>
                <c:pt idx="648">
                  <c:v>12.959999999999813</c:v>
                </c:pt>
                <c:pt idx="649">
                  <c:v>12.979999999999812</c:v>
                </c:pt>
                <c:pt idx="650">
                  <c:v>12.999999999999812</c:v>
                </c:pt>
                <c:pt idx="651">
                  <c:v>13.019999999999811</c:v>
                </c:pt>
                <c:pt idx="652">
                  <c:v>13.039999999999811</c:v>
                </c:pt>
                <c:pt idx="653">
                  <c:v>13.05999999999981</c:v>
                </c:pt>
                <c:pt idx="654">
                  <c:v>13.07999999999981</c:v>
                </c:pt>
                <c:pt idx="655">
                  <c:v>13.09999999999981</c:v>
                </c:pt>
                <c:pt idx="656">
                  <c:v>13.119999999999809</c:v>
                </c:pt>
                <c:pt idx="657">
                  <c:v>13.139999999999809</c:v>
                </c:pt>
                <c:pt idx="658">
                  <c:v>13.159999999999808</c:v>
                </c:pt>
                <c:pt idx="659">
                  <c:v>13.179999999999808</c:v>
                </c:pt>
                <c:pt idx="660">
                  <c:v>13.199999999999807</c:v>
                </c:pt>
                <c:pt idx="661">
                  <c:v>13.219999999999807</c:v>
                </c:pt>
                <c:pt idx="662">
                  <c:v>13.239999999999807</c:v>
                </c:pt>
                <c:pt idx="663">
                  <c:v>13.259999999999806</c:v>
                </c:pt>
                <c:pt idx="664">
                  <c:v>13.279999999999806</c:v>
                </c:pt>
                <c:pt idx="665">
                  <c:v>13.299999999999805</c:v>
                </c:pt>
                <c:pt idx="666">
                  <c:v>13.319999999999805</c:v>
                </c:pt>
                <c:pt idx="667">
                  <c:v>13.339999999999804</c:v>
                </c:pt>
                <c:pt idx="668">
                  <c:v>13.359999999999804</c:v>
                </c:pt>
                <c:pt idx="669">
                  <c:v>13.379999999999804</c:v>
                </c:pt>
                <c:pt idx="670">
                  <c:v>13.399999999999803</c:v>
                </c:pt>
                <c:pt idx="671">
                  <c:v>13.419999999999803</c:v>
                </c:pt>
                <c:pt idx="672">
                  <c:v>13.439999999999802</c:v>
                </c:pt>
                <c:pt idx="673">
                  <c:v>13.459999999999802</c:v>
                </c:pt>
                <c:pt idx="674">
                  <c:v>13.479999999999801</c:v>
                </c:pt>
                <c:pt idx="675">
                  <c:v>13.499999999999801</c:v>
                </c:pt>
                <c:pt idx="676">
                  <c:v>13.519999999999801</c:v>
                </c:pt>
                <c:pt idx="677">
                  <c:v>13.5399999999998</c:v>
                </c:pt>
                <c:pt idx="678">
                  <c:v>13.5599999999998</c:v>
                </c:pt>
                <c:pt idx="679">
                  <c:v>13.579999999999799</c:v>
                </c:pt>
                <c:pt idx="680">
                  <c:v>13.599999999999799</c:v>
                </c:pt>
                <c:pt idx="681">
                  <c:v>13.619999999999798</c:v>
                </c:pt>
                <c:pt idx="682">
                  <c:v>13.639999999999798</c:v>
                </c:pt>
                <c:pt idx="683">
                  <c:v>13.659999999999798</c:v>
                </c:pt>
                <c:pt idx="684">
                  <c:v>13.679999999999797</c:v>
                </c:pt>
                <c:pt idx="685">
                  <c:v>13.699999999999797</c:v>
                </c:pt>
                <c:pt idx="686">
                  <c:v>13.719999999999796</c:v>
                </c:pt>
                <c:pt idx="687">
                  <c:v>13.739999999999796</c:v>
                </c:pt>
                <c:pt idx="688">
                  <c:v>13.759999999999796</c:v>
                </c:pt>
                <c:pt idx="689">
                  <c:v>13.779999999999795</c:v>
                </c:pt>
                <c:pt idx="690">
                  <c:v>13.799999999999795</c:v>
                </c:pt>
                <c:pt idx="691">
                  <c:v>13.819999999999794</c:v>
                </c:pt>
                <c:pt idx="692">
                  <c:v>13.839999999999794</c:v>
                </c:pt>
                <c:pt idx="693">
                  <c:v>13.859999999999793</c:v>
                </c:pt>
                <c:pt idx="694">
                  <c:v>13.879999999999793</c:v>
                </c:pt>
                <c:pt idx="695">
                  <c:v>13.899999999999793</c:v>
                </c:pt>
                <c:pt idx="696">
                  <c:v>13.919999999999792</c:v>
                </c:pt>
                <c:pt idx="697">
                  <c:v>13.939999999999792</c:v>
                </c:pt>
                <c:pt idx="698">
                  <c:v>13.959999999999791</c:v>
                </c:pt>
                <c:pt idx="699">
                  <c:v>13.979999999999791</c:v>
                </c:pt>
                <c:pt idx="700">
                  <c:v>13.99999999999979</c:v>
                </c:pt>
                <c:pt idx="701">
                  <c:v>14.01999999999979</c:v>
                </c:pt>
                <c:pt idx="702">
                  <c:v>14.03999999999979</c:v>
                </c:pt>
                <c:pt idx="703">
                  <c:v>14.059999999999789</c:v>
                </c:pt>
                <c:pt idx="704">
                  <c:v>14.079999999999789</c:v>
                </c:pt>
                <c:pt idx="705">
                  <c:v>14.099999999999788</c:v>
                </c:pt>
                <c:pt idx="706">
                  <c:v>14.119999999999788</c:v>
                </c:pt>
                <c:pt idx="707">
                  <c:v>14.139999999999787</c:v>
                </c:pt>
                <c:pt idx="708">
                  <c:v>14.159999999999787</c:v>
                </c:pt>
                <c:pt idx="709">
                  <c:v>14.179999999999787</c:v>
                </c:pt>
                <c:pt idx="710">
                  <c:v>14.199999999999786</c:v>
                </c:pt>
                <c:pt idx="711">
                  <c:v>14.219999999999786</c:v>
                </c:pt>
              </c:numCache>
            </c:numRef>
          </c:xVal>
          <c:yVal>
            <c:numRef>
              <c:f>AngleFunction!$B$20:$B$731</c:f>
              <c:numCache>
                <c:formatCode>General</c:formatCode>
                <c:ptCount val="712"/>
                <c:pt idx="0">
                  <c:v>0</c:v>
                </c:pt>
                <c:pt idx="1">
                  <c:v>4.0268456375838924E-2</c:v>
                </c:pt>
                <c:pt idx="2">
                  <c:v>8.0536912751677847E-2</c:v>
                </c:pt>
                <c:pt idx="3">
                  <c:v>0.12080536912751677</c:v>
                </c:pt>
                <c:pt idx="4">
                  <c:v>0.16107382550335569</c:v>
                </c:pt>
                <c:pt idx="5">
                  <c:v>0.20134228187919462</c:v>
                </c:pt>
                <c:pt idx="6">
                  <c:v>0.24161073825503354</c:v>
                </c:pt>
                <c:pt idx="7">
                  <c:v>0.28187919463087246</c:v>
                </c:pt>
                <c:pt idx="8">
                  <c:v>0.32214765100671139</c:v>
                </c:pt>
                <c:pt idx="9">
                  <c:v>0.36241610738255031</c:v>
                </c:pt>
                <c:pt idx="10">
                  <c:v>0.40268456375838924</c:v>
                </c:pt>
                <c:pt idx="11">
                  <c:v>0.44295302013422816</c:v>
                </c:pt>
                <c:pt idx="12">
                  <c:v>0.48322147651006708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0.45973154362416108</c:v>
                </c:pt>
                <c:pt idx="47">
                  <c:v>0.41946308724832215</c:v>
                </c:pt>
                <c:pt idx="48">
                  <c:v>0.37919463087248323</c:v>
                </c:pt>
                <c:pt idx="49">
                  <c:v>0.33892617449664431</c:v>
                </c:pt>
                <c:pt idx="50">
                  <c:v>0.29865771812080538</c:v>
                </c:pt>
                <c:pt idx="51">
                  <c:v>0.25838926174496646</c:v>
                </c:pt>
                <c:pt idx="52">
                  <c:v>0.21812080536912754</c:v>
                </c:pt>
                <c:pt idx="53">
                  <c:v>0.17785234899328861</c:v>
                </c:pt>
                <c:pt idx="54">
                  <c:v>0.13758389261744969</c:v>
                </c:pt>
                <c:pt idx="55">
                  <c:v>9.7315436241610764E-2</c:v>
                </c:pt>
                <c:pt idx="56">
                  <c:v>5.7046979865771841E-2</c:v>
                </c:pt>
                <c:pt idx="57">
                  <c:v>1.6778523489932917E-2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84-4BD9-8859-B3E31995C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7688928"/>
        <c:axId val="1777689888"/>
      </c:scatterChart>
      <c:valAx>
        <c:axId val="1777688928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689888"/>
        <c:crosses val="autoZero"/>
        <c:crossBetween val="midCat"/>
      </c:valAx>
      <c:valAx>
        <c:axId val="177768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688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AngleFunction!$A$20:$A$731</c:f>
              <c:numCache>
                <c:formatCode>General</c:formatCode>
                <c:ptCount val="712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0.12000000000000001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0.21999999999999997</c:v>
                </c:pt>
                <c:pt idx="12">
                  <c:v>0.23999999999999996</c:v>
                </c:pt>
                <c:pt idx="13">
                  <c:v>0.25999999999999995</c:v>
                </c:pt>
                <c:pt idx="14">
                  <c:v>0.27999999999999997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0.36000000000000004</c:v>
                </c:pt>
                <c:pt idx="19">
                  <c:v>0.38000000000000006</c:v>
                </c:pt>
                <c:pt idx="20">
                  <c:v>0.40000000000000008</c:v>
                </c:pt>
                <c:pt idx="21">
                  <c:v>0.4200000000000001</c:v>
                </c:pt>
                <c:pt idx="22">
                  <c:v>0.44000000000000011</c:v>
                </c:pt>
                <c:pt idx="23">
                  <c:v>0.46000000000000013</c:v>
                </c:pt>
                <c:pt idx="24">
                  <c:v>0.48000000000000015</c:v>
                </c:pt>
                <c:pt idx="25">
                  <c:v>0.50000000000000011</c:v>
                </c:pt>
                <c:pt idx="26">
                  <c:v>0.52000000000000013</c:v>
                </c:pt>
                <c:pt idx="27">
                  <c:v>0.54000000000000015</c:v>
                </c:pt>
                <c:pt idx="28">
                  <c:v>0.56000000000000016</c:v>
                </c:pt>
                <c:pt idx="29">
                  <c:v>0.58000000000000018</c:v>
                </c:pt>
                <c:pt idx="30">
                  <c:v>0.6000000000000002</c:v>
                </c:pt>
                <c:pt idx="31">
                  <c:v>0.62000000000000022</c:v>
                </c:pt>
                <c:pt idx="32">
                  <c:v>0.64000000000000024</c:v>
                </c:pt>
                <c:pt idx="33">
                  <c:v>0.66000000000000025</c:v>
                </c:pt>
                <c:pt idx="34">
                  <c:v>0.68000000000000027</c:v>
                </c:pt>
                <c:pt idx="35">
                  <c:v>0.70000000000000029</c:v>
                </c:pt>
                <c:pt idx="36">
                  <c:v>0.72000000000000031</c:v>
                </c:pt>
                <c:pt idx="37">
                  <c:v>0.74000000000000032</c:v>
                </c:pt>
                <c:pt idx="38">
                  <c:v>0.76000000000000034</c:v>
                </c:pt>
                <c:pt idx="39">
                  <c:v>0.78000000000000036</c:v>
                </c:pt>
                <c:pt idx="40">
                  <c:v>0.80000000000000038</c:v>
                </c:pt>
                <c:pt idx="41">
                  <c:v>0.8200000000000004</c:v>
                </c:pt>
                <c:pt idx="42">
                  <c:v>0.84000000000000041</c:v>
                </c:pt>
                <c:pt idx="43">
                  <c:v>0.86000000000000043</c:v>
                </c:pt>
                <c:pt idx="44">
                  <c:v>0.88000000000000045</c:v>
                </c:pt>
                <c:pt idx="45">
                  <c:v>0.90000000000000047</c:v>
                </c:pt>
                <c:pt idx="46">
                  <c:v>0.92000000000000048</c:v>
                </c:pt>
                <c:pt idx="47">
                  <c:v>0.9400000000000005</c:v>
                </c:pt>
                <c:pt idx="48">
                  <c:v>0.96000000000000052</c:v>
                </c:pt>
                <c:pt idx="49">
                  <c:v>0.98000000000000054</c:v>
                </c:pt>
                <c:pt idx="50">
                  <c:v>1.0000000000000004</c:v>
                </c:pt>
                <c:pt idx="51">
                  <c:v>1.0200000000000005</c:v>
                </c:pt>
                <c:pt idx="52">
                  <c:v>1.0400000000000005</c:v>
                </c:pt>
                <c:pt idx="53">
                  <c:v>1.0600000000000005</c:v>
                </c:pt>
                <c:pt idx="54">
                  <c:v>1.0800000000000005</c:v>
                </c:pt>
                <c:pt idx="55">
                  <c:v>1.1000000000000005</c:v>
                </c:pt>
                <c:pt idx="56">
                  <c:v>1.1200000000000006</c:v>
                </c:pt>
                <c:pt idx="57">
                  <c:v>1.1400000000000006</c:v>
                </c:pt>
                <c:pt idx="58">
                  <c:v>1.1600000000000006</c:v>
                </c:pt>
                <c:pt idx="59">
                  <c:v>1.1800000000000006</c:v>
                </c:pt>
                <c:pt idx="60">
                  <c:v>1.2000000000000006</c:v>
                </c:pt>
                <c:pt idx="61">
                  <c:v>1.2200000000000006</c:v>
                </c:pt>
                <c:pt idx="62">
                  <c:v>1.2400000000000007</c:v>
                </c:pt>
                <c:pt idx="63">
                  <c:v>1.2600000000000007</c:v>
                </c:pt>
                <c:pt idx="64">
                  <c:v>1.2800000000000007</c:v>
                </c:pt>
                <c:pt idx="65">
                  <c:v>1.3000000000000007</c:v>
                </c:pt>
                <c:pt idx="66">
                  <c:v>1.3200000000000007</c:v>
                </c:pt>
                <c:pt idx="67">
                  <c:v>1.3400000000000007</c:v>
                </c:pt>
                <c:pt idx="68">
                  <c:v>1.3600000000000008</c:v>
                </c:pt>
                <c:pt idx="69">
                  <c:v>1.3800000000000008</c:v>
                </c:pt>
                <c:pt idx="70">
                  <c:v>1.4000000000000008</c:v>
                </c:pt>
                <c:pt idx="71">
                  <c:v>1.4200000000000008</c:v>
                </c:pt>
                <c:pt idx="72">
                  <c:v>1.4400000000000008</c:v>
                </c:pt>
                <c:pt idx="73">
                  <c:v>1.4600000000000009</c:v>
                </c:pt>
                <c:pt idx="74">
                  <c:v>1.4800000000000009</c:v>
                </c:pt>
                <c:pt idx="75">
                  <c:v>1.5000000000000009</c:v>
                </c:pt>
                <c:pt idx="76">
                  <c:v>1.5200000000000009</c:v>
                </c:pt>
                <c:pt idx="77">
                  <c:v>1.5400000000000009</c:v>
                </c:pt>
                <c:pt idx="78">
                  <c:v>1.5600000000000009</c:v>
                </c:pt>
                <c:pt idx="79">
                  <c:v>1.580000000000001</c:v>
                </c:pt>
                <c:pt idx="80">
                  <c:v>1.600000000000001</c:v>
                </c:pt>
                <c:pt idx="81">
                  <c:v>1.620000000000001</c:v>
                </c:pt>
                <c:pt idx="82">
                  <c:v>1.640000000000001</c:v>
                </c:pt>
                <c:pt idx="83">
                  <c:v>1.660000000000001</c:v>
                </c:pt>
                <c:pt idx="84">
                  <c:v>1.680000000000001</c:v>
                </c:pt>
                <c:pt idx="85">
                  <c:v>1.7000000000000011</c:v>
                </c:pt>
                <c:pt idx="86">
                  <c:v>1.7200000000000011</c:v>
                </c:pt>
                <c:pt idx="87">
                  <c:v>1.7400000000000011</c:v>
                </c:pt>
                <c:pt idx="88">
                  <c:v>1.7600000000000011</c:v>
                </c:pt>
                <c:pt idx="89">
                  <c:v>1.7800000000000011</c:v>
                </c:pt>
                <c:pt idx="90">
                  <c:v>1.8000000000000012</c:v>
                </c:pt>
                <c:pt idx="91">
                  <c:v>1.8200000000000012</c:v>
                </c:pt>
                <c:pt idx="92">
                  <c:v>1.8400000000000012</c:v>
                </c:pt>
                <c:pt idx="93">
                  <c:v>1.8600000000000012</c:v>
                </c:pt>
                <c:pt idx="94">
                  <c:v>1.8800000000000012</c:v>
                </c:pt>
                <c:pt idx="95">
                  <c:v>1.9000000000000012</c:v>
                </c:pt>
                <c:pt idx="96">
                  <c:v>1.9200000000000013</c:v>
                </c:pt>
                <c:pt idx="97">
                  <c:v>1.9400000000000013</c:v>
                </c:pt>
                <c:pt idx="98">
                  <c:v>1.9600000000000013</c:v>
                </c:pt>
                <c:pt idx="99">
                  <c:v>1.9800000000000013</c:v>
                </c:pt>
                <c:pt idx="100">
                  <c:v>2.0000000000000013</c:v>
                </c:pt>
                <c:pt idx="101">
                  <c:v>2.0200000000000014</c:v>
                </c:pt>
                <c:pt idx="102">
                  <c:v>2.0400000000000014</c:v>
                </c:pt>
                <c:pt idx="103">
                  <c:v>2.0600000000000014</c:v>
                </c:pt>
                <c:pt idx="104">
                  <c:v>2.0800000000000014</c:v>
                </c:pt>
                <c:pt idx="105">
                  <c:v>2.1000000000000014</c:v>
                </c:pt>
                <c:pt idx="106">
                  <c:v>2.1200000000000014</c:v>
                </c:pt>
                <c:pt idx="107">
                  <c:v>2.1400000000000015</c:v>
                </c:pt>
                <c:pt idx="108">
                  <c:v>2.1600000000000015</c:v>
                </c:pt>
                <c:pt idx="109">
                  <c:v>2.1800000000000015</c:v>
                </c:pt>
                <c:pt idx="110">
                  <c:v>2.2000000000000015</c:v>
                </c:pt>
                <c:pt idx="111">
                  <c:v>2.2200000000000015</c:v>
                </c:pt>
                <c:pt idx="112">
                  <c:v>2.2400000000000015</c:v>
                </c:pt>
                <c:pt idx="113">
                  <c:v>2.2600000000000016</c:v>
                </c:pt>
                <c:pt idx="114">
                  <c:v>2.2800000000000016</c:v>
                </c:pt>
                <c:pt idx="115">
                  <c:v>2.3000000000000016</c:v>
                </c:pt>
                <c:pt idx="116">
                  <c:v>2.3200000000000016</c:v>
                </c:pt>
                <c:pt idx="117">
                  <c:v>2.3400000000000016</c:v>
                </c:pt>
                <c:pt idx="118">
                  <c:v>2.3600000000000017</c:v>
                </c:pt>
                <c:pt idx="119">
                  <c:v>2.3800000000000017</c:v>
                </c:pt>
                <c:pt idx="120">
                  <c:v>2.4000000000000017</c:v>
                </c:pt>
                <c:pt idx="121">
                  <c:v>2.4200000000000017</c:v>
                </c:pt>
                <c:pt idx="122">
                  <c:v>2.4400000000000017</c:v>
                </c:pt>
                <c:pt idx="123">
                  <c:v>2.4600000000000017</c:v>
                </c:pt>
                <c:pt idx="124">
                  <c:v>2.4800000000000018</c:v>
                </c:pt>
                <c:pt idx="125">
                  <c:v>2.5000000000000018</c:v>
                </c:pt>
                <c:pt idx="126">
                  <c:v>2.5200000000000018</c:v>
                </c:pt>
                <c:pt idx="127">
                  <c:v>2.5400000000000018</c:v>
                </c:pt>
                <c:pt idx="128">
                  <c:v>2.5600000000000018</c:v>
                </c:pt>
                <c:pt idx="129">
                  <c:v>2.5800000000000018</c:v>
                </c:pt>
                <c:pt idx="130">
                  <c:v>2.6000000000000019</c:v>
                </c:pt>
                <c:pt idx="131">
                  <c:v>2.6200000000000019</c:v>
                </c:pt>
                <c:pt idx="132">
                  <c:v>2.6400000000000019</c:v>
                </c:pt>
                <c:pt idx="133">
                  <c:v>2.6600000000000019</c:v>
                </c:pt>
                <c:pt idx="134">
                  <c:v>2.6800000000000019</c:v>
                </c:pt>
                <c:pt idx="135">
                  <c:v>2.700000000000002</c:v>
                </c:pt>
                <c:pt idx="136">
                  <c:v>2.720000000000002</c:v>
                </c:pt>
                <c:pt idx="137">
                  <c:v>2.740000000000002</c:v>
                </c:pt>
                <c:pt idx="138">
                  <c:v>2.760000000000002</c:v>
                </c:pt>
                <c:pt idx="139">
                  <c:v>2.780000000000002</c:v>
                </c:pt>
                <c:pt idx="140">
                  <c:v>2.800000000000002</c:v>
                </c:pt>
                <c:pt idx="141">
                  <c:v>2.8200000000000021</c:v>
                </c:pt>
                <c:pt idx="142">
                  <c:v>2.8400000000000021</c:v>
                </c:pt>
                <c:pt idx="143">
                  <c:v>2.8600000000000021</c:v>
                </c:pt>
                <c:pt idx="144">
                  <c:v>2.8800000000000021</c:v>
                </c:pt>
                <c:pt idx="145">
                  <c:v>2.9000000000000021</c:v>
                </c:pt>
                <c:pt idx="146">
                  <c:v>2.9200000000000021</c:v>
                </c:pt>
                <c:pt idx="147">
                  <c:v>2.9400000000000022</c:v>
                </c:pt>
                <c:pt idx="148">
                  <c:v>2.9600000000000022</c:v>
                </c:pt>
                <c:pt idx="149">
                  <c:v>2.9800000000000022</c:v>
                </c:pt>
                <c:pt idx="150">
                  <c:v>3.0000000000000022</c:v>
                </c:pt>
                <c:pt idx="151">
                  <c:v>3.0200000000000022</c:v>
                </c:pt>
                <c:pt idx="152">
                  <c:v>3.0400000000000023</c:v>
                </c:pt>
                <c:pt idx="153">
                  <c:v>3.0600000000000023</c:v>
                </c:pt>
                <c:pt idx="154">
                  <c:v>3.0800000000000023</c:v>
                </c:pt>
                <c:pt idx="155">
                  <c:v>3.1000000000000023</c:v>
                </c:pt>
                <c:pt idx="156">
                  <c:v>3.1200000000000023</c:v>
                </c:pt>
                <c:pt idx="157">
                  <c:v>3.1400000000000023</c:v>
                </c:pt>
                <c:pt idx="158">
                  <c:v>3.1600000000000024</c:v>
                </c:pt>
                <c:pt idx="159">
                  <c:v>3.1800000000000024</c:v>
                </c:pt>
                <c:pt idx="160">
                  <c:v>3.2000000000000024</c:v>
                </c:pt>
                <c:pt idx="161">
                  <c:v>3.2200000000000024</c:v>
                </c:pt>
                <c:pt idx="162">
                  <c:v>3.2400000000000024</c:v>
                </c:pt>
                <c:pt idx="163">
                  <c:v>3.2600000000000025</c:v>
                </c:pt>
                <c:pt idx="164">
                  <c:v>3.2800000000000025</c:v>
                </c:pt>
                <c:pt idx="165">
                  <c:v>3.3000000000000025</c:v>
                </c:pt>
                <c:pt idx="166">
                  <c:v>3.3200000000000025</c:v>
                </c:pt>
                <c:pt idx="167">
                  <c:v>3.3400000000000025</c:v>
                </c:pt>
                <c:pt idx="168">
                  <c:v>3.3600000000000025</c:v>
                </c:pt>
                <c:pt idx="169">
                  <c:v>3.3800000000000026</c:v>
                </c:pt>
                <c:pt idx="170">
                  <c:v>3.4000000000000026</c:v>
                </c:pt>
                <c:pt idx="171">
                  <c:v>3.4200000000000026</c:v>
                </c:pt>
                <c:pt idx="172">
                  <c:v>3.4400000000000026</c:v>
                </c:pt>
                <c:pt idx="173">
                  <c:v>3.4600000000000026</c:v>
                </c:pt>
                <c:pt idx="174">
                  <c:v>3.4800000000000026</c:v>
                </c:pt>
                <c:pt idx="175">
                  <c:v>3.5000000000000027</c:v>
                </c:pt>
                <c:pt idx="176">
                  <c:v>3.5200000000000027</c:v>
                </c:pt>
                <c:pt idx="177">
                  <c:v>3.5400000000000027</c:v>
                </c:pt>
                <c:pt idx="178">
                  <c:v>3.5600000000000027</c:v>
                </c:pt>
                <c:pt idx="179">
                  <c:v>3.5800000000000027</c:v>
                </c:pt>
                <c:pt idx="180">
                  <c:v>3.6000000000000028</c:v>
                </c:pt>
                <c:pt idx="181">
                  <c:v>3.6200000000000028</c:v>
                </c:pt>
                <c:pt idx="182">
                  <c:v>3.6400000000000028</c:v>
                </c:pt>
                <c:pt idx="183">
                  <c:v>3.6600000000000028</c:v>
                </c:pt>
                <c:pt idx="184">
                  <c:v>3.6800000000000028</c:v>
                </c:pt>
                <c:pt idx="185">
                  <c:v>3.7000000000000028</c:v>
                </c:pt>
                <c:pt idx="186">
                  <c:v>3.7200000000000029</c:v>
                </c:pt>
                <c:pt idx="187">
                  <c:v>3.7400000000000029</c:v>
                </c:pt>
                <c:pt idx="188">
                  <c:v>3.7600000000000029</c:v>
                </c:pt>
                <c:pt idx="189">
                  <c:v>3.7800000000000029</c:v>
                </c:pt>
                <c:pt idx="190">
                  <c:v>3.8000000000000029</c:v>
                </c:pt>
                <c:pt idx="191">
                  <c:v>3.8200000000000029</c:v>
                </c:pt>
                <c:pt idx="192">
                  <c:v>3.840000000000003</c:v>
                </c:pt>
                <c:pt idx="193">
                  <c:v>3.860000000000003</c:v>
                </c:pt>
                <c:pt idx="194">
                  <c:v>3.880000000000003</c:v>
                </c:pt>
                <c:pt idx="195">
                  <c:v>3.900000000000003</c:v>
                </c:pt>
                <c:pt idx="196">
                  <c:v>3.920000000000003</c:v>
                </c:pt>
                <c:pt idx="197">
                  <c:v>3.9400000000000031</c:v>
                </c:pt>
                <c:pt idx="198">
                  <c:v>3.9600000000000031</c:v>
                </c:pt>
                <c:pt idx="199">
                  <c:v>3.9800000000000031</c:v>
                </c:pt>
                <c:pt idx="200">
                  <c:v>4.0000000000000027</c:v>
                </c:pt>
                <c:pt idx="201">
                  <c:v>4.0200000000000022</c:v>
                </c:pt>
                <c:pt idx="202">
                  <c:v>4.0400000000000018</c:v>
                </c:pt>
                <c:pt idx="203">
                  <c:v>4.0600000000000014</c:v>
                </c:pt>
                <c:pt idx="204">
                  <c:v>4.080000000000001</c:v>
                </c:pt>
                <c:pt idx="205">
                  <c:v>4.1000000000000005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4.1599999999999993</c:v>
                </c:pt>
                <c:pt idx="209">
                  <c:v>4.1799999999999988</c:v>
                </c:pt>
                <c:pt idx="210">
                  <c:v>4.1999999999999984</c:v>
                </c:pt>
                <c:pt idx="211">
                  <c:v>4.219999999999998</c:v>
                </c:pt>
                <c:pt idx="212">
                  <c:v>4.2399999999999975</c:v>
                </c:pt>
                <c:pt idx="213">
                  <c:v>4.2599999999999971</c:v>
                </c:pt>
                <c:pt idx="214">
                  <c:v>4.2799999999999967</c:v>
                </c:pt>
                <c:pt idx="215">
                  <c:v>4.2999999999999963</c:v>
                </c:pt>
                <c:pt idx="216">
                  <c:v>4.3199999999999958</c:v>
                </c:pt>
                <c:pt idx="217">
                  <c:v>4.3399999999999954</c:v>
                </c:pt>
                <c:pt idx="218">
                  <c:v>4.359999999999995</c:v>
                </c:pt>
                <c:pt idx="219">
                  <c:v>4.3799999999999946</c:v>
                </c:pt>
                <c:pt idx="220">
                  <c:v>4.3999999999999941</c:v>
                </c:pt>
                <c:pt idx="221">
                  <c:v>4.4199999999999937</c:v>
                </c:pt>
                <c:pt idx="222">
                  <c:v>4.4399999999999933</c:v>
                </c:pt>
                <c:pt idx="223">
                  <c:v>4.4599999999999929</c:v>
                </c:pt>
                <c:pt idx="224">
                  <c:v>4.4799999999999924</c:v>
                </c:pt>
                <c:pt idx="225">
                  <c:v>4.499999999999992</c:v>
                </c:pt>
                <c:pt idx="226">
                  <c:v>4.5199999999999916</c:v>
                </c:pt>
                <c:pt idx="227">
                  <c:v>4.5399999999999912</c:v>
                </c:pt>
                <c:pt idx="228">
                  <c:v>4.5599999999999907</c:v>
                </c:pt>
                <c:pt idx="229">
                  <c:v>4.5799999999999903</c:v>
                </c:pt>
                <c:pt idx="230">
                  <c:v>4.5999999999999899</c:v>
                </c:pt>
                <c:pt idx="231">
                  <c:v>4.6199999999999894</c:v>
                </c:pt>
                <c:pt idx="232">
                  <c:v>4.639999999999989</c:v>
                </c:pt>
                <c:pt idx="233">
                  <c:v>4.6599999999999886</c:v>
                </c:pt>
                <c:pt idx="234">
                  <c:v>4.6799999999999882</c:v>
                </c:pt>
                <c:pt idx="235">
                  <c:v>4.6999999999999877</c:v>
                </c:pt>
                <c:pt idx="236">
                  <c:v>4.7199999999999873</c:v>
                </c:pt>
                <c:pt idx="237">
                  <c:v>4.7399999999999869</c:v>
                </c:pt>
                <c:pt idx="238">
                  <c:v>4.7599999999999865</c:v>
                </c:pt>
                <c:pt idx="239">
                  <c:v>4.779999999999986</c:v>
                </c:pt>
                <c:pt idx="240">
                  <c:v>4.7999999999999856</c:v>
                </c:pt>
                <c:pt idx="241">
                  <c:v>4.8199999999999852</c:v>
                </c:pt>
                <c:pt idx="242">
                  <c:v>4.8399999999999848</c:v>
                </c:pt>
                <c:pt idx="243">
                  <c:v>4.8599999999999843</c:v>
                </c:pt>
                <c:pt idx="244">
                  <c:v>4.8799999999999839</c:v>
                </c:pt>
                <c:pt idx="245">
                  <c:v>4.8999999999999835</c:v>
                </c:pt>
                <c:pt idx="246">
                  <c:v>4.9199999999999831</c:v>
                </c:pt>
                <c:pt idx="247">
                  <c:v>4.9399999999999826</c:v>
                </c:pt>
                <c:pt idx="248">
                  <c:v>4.9599999999999822</c:v>
                </c:pt>
                <c:pt idx="249">
                  <c:v>4.9799999999999818</c:v>
                </c:pt>
                <c:pt idx="250">
                  <c:v>4.9999999999999813</c:v>
                </c:pt>
                <c:pt idx="251">
                  <c:v>5.0199999999999809</c:v>
                </c:pt>
                <c:pt idx="252">
                  <c:v>5.0399999999999805</c:v>
                </c:pt>
                <c:pt idx="253">
                  <c:v>5.0599999999999801</c:v>
                </c:pt>
                <c:pt idx="254">
                  <c:v>5.0799999999999796</c:v>
                </c:pt>
                <c:pt idx="255">
                  <c:v>5.0999999999999792</c:v>
                </c:pt>
                <c:pt idx="256">
                  <c:v>5.1199999999999788</c:v>
                </c:pt>
                <c:pt idx="257">
                  <c:v>5.1399999999999784</c:v>
                </c:pt>
                <c:pt idx="258">
                  <c:v>5.1599999999999779</c:v>
                </c:pt>
                <c:pt idx="259">
                  <c:v>5.1799999999999775</c:v>
                </c:pt>
                <c:pt idx="260">
                  <c:v>5.1999999999999771</c:v>
                </c:pt>
                <c:pt idx="261">
                  <c:v>5.2199999999999767</c:v>
                </c:pt>
                <c:pt idx="262">
                  <c:v>5.2399999999999762</c:v>
                </c:pt>
                <c:pt idx="263">
                  <c:v>5.2599999999999758</c:v>
                </c:pt>
                <c:pt idx="264">
                  <c:v>5.2799999999999754</c:v>
                </c:pt>
                <c:pt idx="265">
                  <c:v>5.299999999999975</c:v>
                </c:pt>
                <c:pt idx="266">
                  <c:v>5.3199999999999745</c:v>
                </c:pt>
                <c:pt idx="267">
                  <c:v>5.3399999999999741</c:v>
                </c:pt>
                <c:pt idx="268">
                  <c:v>5.3599999999999737</c:v>
                </c:pt>
                <c:pt idx="269">
                  <c:v>5.3799999999999732</c:v>
                </c:pt>
                <c:pt idx="270">
                  <c:v>5.3999999999999728</c:v>
                </c:pt>
                <c:pt idx="271">
                  <c:v>5.4199999999999724</c:v>
                </c:pt>
                <c:pt idx="272">
                  <c:v>5.439999999999972</c:v>
                </c:pt>
                <c:pt idx="273">
                  <c:v>5.4599999999999715</c:v>
                </c:pt>
                <c:pt idx="274">
                  <c:v>5.4799999999999711</c:v>
                </c:pt>
                <c:pt idx="275">
                  <c:v>5.4999999999999707</c:v>
                </c:pt>
                <c:pt idx="276">
                  <c:v>5.5199999999999703</c:v>
                </c:pt>
                <c:pt idx="277">
                  <c:v>5.5399999999999698</c:v>
                </c:pt>
                <c:pt idx="278">
                  <c:v>5.5599999999999694</c:v>
                </c:pt>
                <c:pt idx="279">
                  <c:v>5.579999999999969</c:v>
                </c:pt>
                <c:pt idx="280">
                  <c:v>5.5999999999999686</c:v>
                </c:pt>
                <c:pt idx="281">
                  <c:v>5.6199999999999681</c:v>
                </c:pt>
                <c:pt idx="282">
                  <c:v>5.6399999999999677</c:v>
                </c:pt>
                <c:pt idx="283">
                  <c:v>5.6599999999999673</c:v>
                </c:pt>
                <c:pt idx="284">
                  <c:v>5.6799999999999669</c:v>
                </c:pt>
                <c:pt idx="285">
                  <c:v>5.6999999999999664</c:v>
                </c:pt>
                <c:pt idx="286">
                  <c:v>5.719999999999966</c:v>
                </c:pt>
                <c:pt idx="287">
                  <c:v>5.7399999999999656</c:v>
                </c:pt>
                <c:pt idx="288">
                  <c:v>5.7599999999999651</c:v>
                </c:pt>
                <c:pt idx="289">
                  <c:v>5.7799999999999647</c:v>
                </c:pt>
                <c:pt idx="290">
                  <c:v>5.7999999999999643</c:v>
                </c:pt>
                <c:pt idx="291">
                  <c:v>5.8199999999999639</c:v>
                </c:pt>
                <c:pt idx="292">
                  <c:v>5.8399999999999634</c:v>
                </c:pt>
                <c:pt idx="293">
                  <c:v>5.859999999999963</c:v>
                </c:pt>
                <c:pt idx="294">
                  <c:v>5.8799999999999626</c:v>
                </c:pt>
                <c:pt idx="295">
                  <c:v>5.8999999999999622</c:v>
                </c:pt>
                <c:pt idx="296">
                  <c:v>5.9199999999999617</c:v>
                </c:pt>
                <c:pt idx="297">
                  <c:v>5.9399999999999613</c:v>
                </c:pt>
                <c:pt idx="298">
                  <c:v>5.9599999999999609</c:v>
                </c:pt>
                <c:pt idx="299">
                  <c:v>5.9799999999999605</c:v>
                </c:pt>
                <c:pt idx="300">
                  <c:v>5.99999999999996</c:v>
                </c:pt>
                <c:pt idx="301">
                  <c:v>6.0199999999999596</c:v>
                </c:pt>
                <c:pt idx="302">
                  <c:v>6.0399999999999592</c:v>
                </c:pt>
                <c:pt idx="303">
                  <c:v>6.0599999999999588</c:v>
                </c:pt>
                <c:pt idx="304">
                  <c:v>6.0799999999999583</c:v>
                </c:pt>
                <c:pt idx="305">
                  <c:v>6.0999999999999579</c:v>
                </c:pt>
                <c:pt idx="306">
                  <c:v>6.1199999999999575</c:v>
                </c:pt>
                <c:pt idx="307">
                  <c:v>6.139999999999957</c:v>
                </c:pt>
                <c:pt idx="308">
                  <c:v>6.1599999999999566</c:v>
                </c:pt>
                <c:pt idx="309">
                  <c:v>6.1799999999999562</c:v>
                </c:pt>
                <c:pt idx="310">
                  <c:v>6.1999999999999558</c:v>
                </c:pt>
                <c:pt idx="311">
                  <c:v>6.2199999999999553</c:v>
                </c:pt>
                <c:pt idx="312">
                  <c:v>6.2399999999999549</c:v>
                </c:pt>
                <c:pt idx="313">
                  <c:v>6.2599999999999545</c:v>
                </c:pt>
                <c:pt idx="314">
                  <c:v>6.2799999999999541</c:v>
                </c:pt>
                <c:pt idx="315">
                  <c:v>6.2999999999999536</c:v>
                </c:pt>
                <c:pt idx="316">
                  <c:v>6.3199999999999532</c:v>
                </c:pt>
                <c:pt idx="317">
                  <c:v>6.3399999999999528</c:v>
                </c:pt>
                <c:pt idx="318">
                  <c:v>6.3599999999999524</c:v>
                </c:pt>
                <c:pt idx="319">
                  <c:v>6.3799999999999519</c:v>
                </c:pt>
                <c:pt idx="320">
                  <c:v>6.3999999999999515</c:v>
                </c:pt>
                <c:pt idx="321">
                  <c:v>6.4199999999999511</c:v>
                </c:pt>
                <c:pt idx="322">
                  <c:v>6.4399999999999507</c:v>
                </c:pt>
                <c:pt idx="323">
                  <c:v>6.4599999999999502</c:v>
                </c:pt>
                <c:pt idx="324">
                  <c:v>6.4799999999999498</c:v>
                </c:pt>
                <c:pt idx="325">
                  <c:v>6.4999999999999494</c:v>
                </c:pt>
                <c:pt idx="326">
                  <c:v>6.5199999999999489</c:v>
                </c:pt>
                <c:pt idx="327">
                  <c:v>6.5399999999999485</c:v>
                </c:pt>
                <c:pt idx="328">
                  <c:v>6.5599999999999481</c:v>
                </c:pt>
                <c:pt idx="329">
                  <c:v>6.5799999999999477</c:v>
                </c:pt>
                <c:pt idx="330">
                  <c:v>6.5999999999999472</c:v>
                </c:pt>
                <c:pt idx="331">
                  <c:v>6.6199999999999468</c:v>
                </c:pt>
                <c:pt idx="332">
                  <c:v>6.6399999999999464</c:v>
                </c:pt>
                <c:pt idx="333">
                  <c:v>6.659999999999946</c:v>
                </c:pt>
                <c:pt idx="334">
                  <c:v>6.6799999999999455</c:v>
                </c:pt>
                <c:pt idx="335">
                  <c:v>6.6999999999999451</c:v>
                </c:pt>
                <c:pt idx="336">
                  <c:v>6.7199999999999447</c:v>
                </c:pt>
                <c:pt idx="337">
                  <c:v>6.7399999999999443</c:v>
                </c:pt>
                <c:pt idx="338">
                  <c:v>6.7599999999999438</c:v>
                </c:pt>
                <c:pt idx="339">
                  <c:v>6.7799999999999434</c:v>
                </c:pt>
                <c:pt idx="340">
                  <c:v>6.799999999999943</c:v>
                </c:pt>
                <c:pt idx="341">
                  <c:v>6.8199999999999426</c:v>
                </c:pt>
                <c:pt idx="342">
                  <c:v>6.8399999999999421</c:v>
                </c:pt>
                <c:pt idx="343">
                  <c:v>6.8599999999999417</c:v>
                </c:pt>
                <c:pt idx="344">
                  <c:v>6.8799999999999413</c:v>
                </c:pt>
                <c:pt idx="345">
                  <c:v>6.8999999999999408</c:v>
                </c:pt>
                <c:pt idx="346">
                  <c:v>6.9199999999999404</c:v>
                </c:pt>
                <c:pt idx="347">
                  <c:v>6.93999999999994</c:v>
                </c:pt>
                <c:pt idx="348">
                  <c:v>6.9599999999999396</c:v>
                </c:pt>
                <c:pt idx="349">
                  <c:v>6.9799999999999391</c:v>
                </c:pt>
                <c:pt idx="350">
                  <c:v>6.9999999999999387</c:v>
                </c:pt>
                <c:pt idx="351">
                  <c:v>7.0199999999999383</c:v>
                </c:pt>
                <c:pt idx="352">
                  <c:v>7.0399999999999379</c:v>
                </c:pt>
                <c:pt idx="353">
                  <c:v>7.0599999999999374</c:v>
                </c:pt>
                <c:pt idx="354">
                  <c:v>7.079999999999937</c:v>
                </c:pt>
                <c:pt idx="355">
                  <c:v>7.0999999999999366</c:v>
                </c:pt>
                <c:pt idx="356">
                  <c:v>7.1199999999999362</c:v>
                </c:pt>
                <c:pt idx="357">
                  <c:v>7.1399999999999357</c:v>
                </c:pt>
                <c:pt idx="358">
                  <c:v>7.1599999999999353</c:v>
                </c:pt>
                <c:pt idx="359">
                  <c:v>7.1799999999999349</c:v>
                </c:pt>
                <c:pt idx="360">
                  <c:v>7.1999999999999345</c:v>
                </c:pt>
                <c:pt idx="361">
                  <c:v>7.219999999999934</c:v>
                </c:pt>
                <c:pt idx="362">
                  <c:v>7.2399999999999336</c:v>
                </c:pt>
                <c:pt idx="363">
                  <c:v>7.2599999999999332</c:v>
                </c:pt>
                <c:pt idx="364">
                  <c:v>7.2799999999999327</c:v>
                </c:pt>
                <c:pt idx="365">
                  <c:v>7.2999999999999323</c:v>
                </c:pt>
                <c:pt idx="366">
                  <c:v>7.3199999999999319</c:v>
                </c:pt>
                <c:pt idx="367">
                  <c:v>7.3399999999999315</c:v>
                </c:pt>
                <c:pt idx="368">
                  <c:v>7.359999999999931</c:v>
                </c:pt>
                <c:pt idx="369">
                  <c:v>7.3799999999999306</c:v>
                </c:pt>
                <c:pt idx="370">
                  <c:v>7.3999999999999302</c:v>
                </c:pt>
                <c:pt idx="371">
                  <c:v>7.4199999999999298</c:v>
                </c:pt>
                <c:pt idx="372">
                  <c:v>7.4399999999999293</c:v>
                </c:pt>
                <c:pt idx="373">
                  <c:v>7.4599999999999289</c:v>
                </c:pt>
                <c:pt idx="374">
                  <c:v>7.4799999999999285</c:v>
                </c:pt>
                <c:pt idx="375">
                  <c:v>7.4999999999999281</c:v>
                </c:pt>
                <c:pt idx="376">
                  <c:v>7.5199999999999276</c:v>
                </c:pt>
                <c:pt idx="377">
                  <c:v>7.5399999999999272</c:v>
                </c:pt>
                <c:pt idx="378">
                  <c:v>7.5599999999999268</c:v>
                </c:pt>
                <c:pt idx="379">
                  <c:v>7.5799999999999264</c:v>
                </c:pt>
                <c:pt idx="380">
                  <c:v>7.5999999999999259</c:v>
                </c:pt>
                <c:pt idx="381">
                  <c:v>7.6199999999999255</c:v>
                </c:pt>
                <c:pt idx="382">
                  <c:v>7.6399999999999251</c:v>
                </c:pt>
                <c:pt idx="383">
                  <c:v>7.6599999999999246</c:v>
                </c:pt>
                <c:pt idx="384">
                  <c:v>7.6799999999999242</c:v>
                </c:pt>
                <c:pt idx="385">
                  <c:v>7.6999999999999238</c:v>
                </c:pt>
                <c:pt idx="386">
                  <c:v>7.7199999999999234</c:v>
                </c:pt>
                <c:pt idx="387">
                  <c:v>7.7399999999999229</c:v>
                </c:pt>
                <c:pt idx="388">
                  <c:v>7.7599999999999225</c:v>
                </c:pt>
                <c:pt idx="389">
                  <c:v>7.7799999999999221</c:v>
                </c:pt>
                <c:pt idx="390">
                  <c:v>7.7999999999999217</c:v>
                </c:pt>
                <c:pt idx="391">
                  <c:v>7.8199999999999212</c:v>
                </c:pt>
                <c:pt idx="392">
                  <c:v>7.8399999999999208</c:v>
                </c:pt>
                <c:pt idx="393">
                  <c:v>7.8599999999999204</c:v>
                </c:pt>
                <c:pt idx="394">
                  <c:v>7.87999999999992</c:v>
                </c:pt>
                <c:pt idx="395">
                  <c:v>7.8999999999999195</c:v>
                </c:pt>
                <c:pt idx="396">
                  <c:v>7.9199999999999191</c:v>
                </c:pt>
                <c:pt idx="397">
                  <c:v>7.9399999999999187</c:v>
                </c:pt>
                <c:pt idx="398">
                  <c:v>7.9599999999999183</c:v>
                </c:pt>
                <c:pt idx="399">
                  <c:v>7.9799999999999178</c:v>
                </c:pt>
                <c:pt idx="400">
                  <c:v>7.9999999999999174</c:v>
                </c:pt>
                <c:pt idx="401">
                  <c:v>8.0199999999999179</c:v>
                </c:pt>
                <c:pt idx="402">
                  <c:v>8.0399999999999174</c:v>
                </c:pt>
                <c:pt idx="403">
                  <c:v>8.059999999999917</c:v>
                </c:pt>
                <c:pt idx="404">
                  <c:v>8.0799999999999166</c:v>
                </c:pt>
                <c:pt idx="405">
                  <c:v>8.0999999999999162</c:v>
                </c:pt>
                <c:pt idx="406">
                  <c:v>8.1199999999999157</c:v>
                </c:pt>
                <c:pt idx="407">
                  <c:v>8.1399999999999153</c:v>
                </c:pt>
                <c:pt idx="408">
                  <c:v>8.1599999999999149</c:v>
                </c:pt>
                <c:pt idx="409">
                  <c:v>8.1799999999999145</c:v>
                </c:pt>
                <c:pt idx="410">
                  <c:v>8.199999999999914</c:v>
                </c:pt>
                <c:pt idx="411">
                  <c:v>8.2199999999999136</c:v>
                </c:pt>
                <c:pt idx="412">
                  <c:v>8.2399999999999132</c:v>
                </c:pt>
                <c:pt idx="413">
                  <c:v>8.2599999999999127</c:v>
                </c:pt>
                <c:pt idx="414">
                  <c:v>8.2799999999999123</c:v>
                </c:pt>
                <c:pt idx="415">
                  <c:v>8.2999999999999119</c:v>
                </c:pt>
                <c:pt idx="416">
                  <c:v>8.3199999999999115</c:v>
                </c:pt>
                <c:pt idx="417">
                  <c:v>8.339999999999911</c:v>
                </c:pt>
                <c:pt idx="418">
                  <c:v>8.3599999999999106</c:v>
                </c:pt>
                <c:pt idx="419">
                  <c:v>8.3799999999999102</c:v>
                </c:pt>
                <c:pt idx="420">
                  <c:v>8.3999999999999098</c:v>
                </c:pt>
                <c:pt idx="421">
                  <c:v>8.4199999999999093</c:v>
                </c:pt>
                <c:pt idx="422">
                  <c:v>8.4399999999999089</c:v>
                </c:pt>
                <c:pt idx="423">
                  <c:v>8.4599999999999085</c:v>
                </c:pt>
                <c:pt idx="424">
                  <c:v>8.4799999999999081</c:v>
                </c:pt>
                <c:pt idx="425">
                  <c:v>8.4999999999999076</c:v>
                </c:pt>
                <c:pt idx="426">
                  <c:v>8.5199999999999072</c:v>
                </c:pt>
                <c:pt idx="427">
                  <c:v>8.5399999999999068</c:v>
                </c:pt>
                <c:pt idx="428">
                  <c:v>8.5599999999999064</c:v>
                </c:pt>
                <c:pt idx="429">
                  <c:v>8.5799999999999059</c:v>
                </c:pt>
                <c:pt idx="430">
                  <c:v>8.5999999999999055</c:v>
                </c:pt>
                <c:pt idx="431">
                  <c:v>8.6199999999999051</c:v>
                </c:pt>
                <c:pt idx="432">
                  <c:v>8.6399999999999046</c:v>
                </c:pt>
                <c:pt idx="433">
                  <c:v>8.6599999999999042</c:v>
                </c:pt>
                <c:pt idx="434">
                  <c:v>8.6799999999999038</c:v>
                </c:pt>
                <c:pt idx="435">
                  <c:v>8.6999999999999034</c:v>
                </c:pt>
                <c:pt idx="436">
                  <c:v>8.7199999999999029</c:v>
                </c:pt>
                <c:pt idx="437">
                  <c:v>8.7399999999999025</c:v>
                </c:pt>
                <c:pt idx="438">
                  <c:v>8.7599999999999021</c:v>
                </c:pt>
                <c:pt idx="439">
                  <c:v>8.7799999999999017</c:v>
                </c:pt>
                <c:pt idx="440">
                  <c:v>8.7999999999999012</c:v>
                </c:pt>
                <c:pt idx="441">
                  <c:v>8.8199999999999008</c:v>
                </c:pt>
                <c:pt idx="442">
                  <c:v>8.8399999999999004</c:v>
                </c:pt>
                <c:pt idx="443">
                  <c:v>8.8599999999999</c:v>
                </c:pt>
                <c:pt idx="444">
                  <c:v>8.8799999999998995</c:v>
                </c:pt>
                <c:pt idx="445">
                  <c:v>8.8999999999998991</c:v>
                </c:pt>
                <c:pt idx="446">
                  <c:v>8.9199999999998987</c:v>
                </c:pt>
                <c:pt idx="447">
                  <c:v>8.9399999999998983</c:v>
                </c:pt>
                <c:pt idx="448">
                  <c:v>8.9599999999998978</c:v>
                </c:pt>
                <c:pt idx="449">
                  <c:v>8.9799999999998974</c:v>
                </c:pt>
                <c:pt idx="450">
                  <c:v>8.999999999999897</c:v>
                </c:pt>
                <c:pt idx="451">
                  <c:v>9.0199999999998965</c:v>
                </c:pt>
                <c:pt idx="452">
                  <c:v>9.0399999999998961</c:v>
                </c:pt>
                <c:pt idx="453">
                  <c:v>9.0599999999998957</c:v>
                </c:pt>
                <c:pt idx="454">
                  <c:v>9.0799999999998953</c:v>
                </c:pt>
                <c:pt idx="455">
                  <c:v>9.0999999999998948</c:v>
                </c:pt>
                <c:pt idx="456">
                  <c:v>9.1199999999998944</c:v>
                </c:pt>
                <c:pt idx="457">
                  <c:v>9.139999999999894</c:v>
                </c:pt>
                <c:pt idx="458">
                  <c:v>9.1599999999998936</c:v>
                </c:pt>
                <c:pt idx="459">
                  <c:v>9.1799999999998931</c:v>
                </c:pt>
                <c:pt idx="460">
                  <c:v>9.1999999999998927</c:v>
                </c:pt>
                <c:pt idx="461">
                  <c:v>9.2199999999998923</c:v>
                </c:pt>
                <c:pt idx="462">
                  <c:v>9.2399999999998919</c:v>
                </c:pt>
                <c:pt idx="463">
                  <c:v>9.2599999999998914</c:v>
                </c:pt>
                <c:pt idx="464">
                  <c:v>9.279999999999891</c:v>
                </c:pt>
                <c:pt idx="465">
                  <c:v>9.2999999999998906</c:v>
                </c:pt>
                <c:pt idx="466">
                  <c:v>9.3199999999998902</c:v>
                </c:pt>
                <c:pt idx="467">
                  <c:v>9.3399999999998897</c:v>
                </c:pt>
                <c:pt idx="468">
                  <c:v>9.3599999999998893</c:v>
                </c:pt>
                <c:pt idx="469">
                  <c:v>9.3799999999998889</c:v>
                </c:pt>
                <c:pt idx="470">
                  <c:v>9.3999999999998884</c:v>
                </c:pt>
                <c:pt idx="471">
                  <c:v>9.419999999999888</c:v>
                </c:pt>
                <c:pt idx="472">
                  <c:v>9.4399999999998876</c:v>
                </c:pt>
                <c:pt idx="473">
                  <c:v>9.4599999999998872</c:v>
                </c:pt>
                <c:pt idx="474">
                  <c:v>9.4799999999998867</c:v>
                </c:pt>
                <c:pt idx="475">
                  <c:v>9.4999999999998863</c:v>
                </c:pt>
                <c:pt idx="476">
                  <c:v>9.5199999999998859</c:v>
                </c:pt>
                <c:pt idx="477">
                  <c:v>9.5399999999998855</c:v>
                </c:pt>
                <c:pt idx="478">
                  <c:v>9.559999999999885</c:v>
                </c:pt>
                <c:pt idx="479">
                  <c:v>9.5799999999998846</c:v>
                </c:pt>
                <c:pt idx="480">
                  <c:v>9.5999999999998842</c:v>
                </c:pt>
                <c:pt idx="481">
                  <c:v>9.6199999999998838</c:v>
                </c:pt>
                <c:pt idx="482">
                  <c:v>9.6399999999998833</c:v>
                </c:pt>
                <c:pt idx="483">
                  <c:v>9.6599999999998829</c:v>
                </c:pt>
                <c:pt idx="484">
                  <c:v>9.6799999999998825</c:v>
                </c:pt>
                <c:pt idx="485">
                  <c:v>9.699999999999882</c:v>
                </c:pt>
                <c:pt idx="486">
                  <c:v>9.7199999999998816</c:v>
                </c:pt>
                <c:pt idx="487">
                  <c:v>9.7399999999998812</c:v>
                </c:pt>
                <c:pt idx="488">
                  <c:v>9.7599999999998808</c:v>
                </c:pt>
                <c:pt idx="489">
                  <c:v>9.7799999999998803</c:v>
                </c:pt>
                <c:pt idx="490">
                  <c:v>9.7999999999998799</c:v>
                </c:pt>
                <c:pt idx="491">
                  <c:v>9.8199999999998795</c:v>
                </c:pt>
                <c:pt idx="492">
                  <c:v>9.8399999999998791</c:v>
                </c:pt>
                <c:pt idx="493">
                  <c:v>9.8599999999998786</c:v>
                </c:pt>
                <c:pt idx="494">
                  <c:v>9.8799999999998782</c:v>
                </c:pt>
                <c:pt idx="495">
                  <c:v>9.8999999999998778</c:v>
                </c:pt>
                <c:pt idx="496">
                  <c:v>9.9199999999998774</c:v>
                </c:pt>
                <c:pt idx="497">
                  <c:v>9.9399999999998769</c:v>
                </c:pt>
                <c:pt idx="498">
                  <c:v>9.9599999999998765</c:v>
                </c:pt>
                <c:pt idx="499">
                  <c:v>9.9799999999998761</c:v>
                </c:pt>
                <c:pt idx="500">
                  <c:v>9.9999999999998757</c:v>
                </c:pt>
                <c:pt idx="501">
                  <c:v>10.019999999999875</c:v>
                </c:pt>
                <c:pt idx="502">
                  <c:v>10.039999999999875</c:v>
                </c:pt>
                <c:pt idx="503">
                  <c:v>10.059999999999874</c:v>
                </c:pt>
                <c:pt idx="504">
                  <c:v>10.079999999999874</c:v>
                </c:pt>
                <c:pt idx="505">
                  <c:v>10.099999999999874</c:v>
                </c:pt>
                <c:pt idx="506">
                  <c:v>10.119999999999873</c:v>
                </c:pt>
                <c:pt idx="507">
                  <c:v>10.139999999999873</c:v>
                </c:pt>
                <c:pt idx="508">
                  <c:v>10.159999999999872</c:v>
                </c:pt>
                <c:pt idx="509">
                  <c:v>10.179999999999872</c:v>
                </c:pt>
                <c:pt idx="510">
                  <c:v>10.199999999999871</c:v>
                </c:pt>
                <c:pt idx="511">
                  <c:v>10.219999999999871</c:v>
                </c:pt>
                <c:pt idx="512">
                  <c:v>10.239999999999871</c:v>
                </c:pt>
                <c:pt idx="513">
                  <c:v>10.25999999999987</c:v>
                </c:pt>
                <c:pt idx="514">
                  <c:v>10.27999999999987</c:v>
                </c:pt>
                <c:pt idx="515">
                  <c:v>10.299999999999869</c:v>
                </c:pt>
                <c:pt idx="516">
                  <c:v>10.319999999999869</c:v>
                </c:pt>
                <c:pt idx="517">
                  <c:v>10.339999999999868</c:v>
                </c:pt>
                <c:pt idx="518">
                  <c:v>10.359999999999868</c:v>
                </c:pt>
                <c:pt idx="519">
                  <c:v>10.379999999999868</c:v>
                </c:pt>
                <c:pt idx="520">
                  <c:v>10.399999999999867</c:v>
                </c:pt>
                <c:pt idx="521">
                  <c:v>10.419999999999867</c:v>
                </c:pt>
                <c:pt idx="522">
                  <c:v>10.439999999999866</c:v>
                </c:pt>
                <c:pt idx="523">
                  <c:v>10.459999999999866</c:v>
                </c:pt>
                <c:pt idx="524">
                  <c:v>10.479999999999865</c:v>
                </c:pt>
                <c:pt idx="525">
                  <c:v>10.499999999999865</c:v>
                </c:pt>
                <c:pt idx="526">
                  <c:v>10.519999999999865</c:v>
                </c:pt>
                <c:pt idx="527">
                  <c:v>10.539999999999864</c:v>
                </c:pt>
                <c:pt idx="528">
                  <c:v>10.559999999999864</c:v>
                </c:pt>
                <c:pt idx="529">
                  <c:v>10.579999999999863</c:v>
                </c:pt>
                <c:pt idx="530">
                  <c:v>10.599999999999863</c:v>
                </c:pt>
                <c:pt idx="531">
                  <c:v>10.619999999999862</c:v>
                </c:pt>
                <c:pt idx="532">
                  <c:v>10.639999999999862</c:v>
                </c:pt>
                <c:pt idx="533">
                  <c:v>10.659999999999862</c:v>
                </c:pt>
                <c:pt idx="534">
                  <c:v>10.679999999999861</c:v>
                </c:pt>
                <c:pt idx="535">
                  <c:v>10.699999999999861</c:v>
                </c:pt>
                <c:pt idx="536">
                  <c:v>10.71999999999986</c:v>
                </c:pt>
                <c:pt idx="537">
                  <c:v>10.73999999999986</c:v>
                </c:pt>
                <c:pt idx="538">
                  <c:v>10.759999999999859</c:v>
                </c:pt>
                <c:pt idx="539">
                  <c:v>10.779999999999859</c:v>
                </c:pt>
                <c:pt idx="540">
                  <c:v>10.799999999999859</c:v>
                </c:pt>
                <c:pt idx="541">
                  <c:v>10.819999999999858</c:v>
                </c:pt>
                <c:pt idx="542">
                  <c:v>10.839999999999858</c:v>
                </c:pt>
                <c:pt idx="543">
                  <c:v>10.859999999999857</c:v>
                </c:pt>
                <c:pt idx="544">
                  <c:v>10.879999999999857</c:v>
                </c:pt>
                <c:pt idx="545">
                  <c:v>10.899999999999856</c:v>
                </c:pt>
                <c:pt idx="546">
                  <c:v>10.919999999999856</c:v>
                </c:pt>
                <c:pt idx="547">
                  <c:v>10.939999999999856</c:v>
                </c:pt>
                <c:pt idx="548">
                  <c:v>10.959999999999855</c:v>
                </c:pt>
                <c:pt idx="549">
                  <c:v>10.979999999999855</c:v>
                </c:pt>
                <c:pt idx="550">
                  <c:v>10.999999999999854</c:v>
                </c:pt>
                <c:pt idx="551">
                  <c:v>11.019999999999854</c:v>
                </c:pt>
                <c:pt idx="552">
                  <c:v>11.039999999999853</c:v>
                </c:pt>
                <c:pt idx="553">
                  <c:v>11.059999999999853</c:v>
                </c:pt>
                <c:pt idx="554">
                  <c:v>11.079999999999853</c:v>
                </c:pt>
                <c:pt idx="555">
                  <c:v>11.099999999999852</c:v>
                </c:pt>
                <c:pt idx="556">
                  <c:v>11.119999999999852</c:v>
                </c:pt>
                <c:pt idx="557">
                  <c:v>11.139999999999851</c:v>
                </c:pt>
                <c:pt idx="558">
                  <c:v>11.159999999999851</c:v>
                </c:pt>
                <c:pt idx="559">
                  <c:v>11.179999999999851</c:v>
                </c:pt>
                <c:pt idx="560">
                  <c:v>11.19999999999985</c:v>
                </c:pt>
                <c:pt idx="561">
                  <c:v>11.21999999999985</c:v>
                </c:pt>
                <c:pt idx="562">
                  <c:v>11.239999999999849</c:v>
                </c:pt>
                <c:pt idx="563">
                  <c:v>11.259999999999849</c:v>
                </c:pt>
                <c:pt idx="564">
                  <c:v>11.279999999999848</c:v>
                </c:pt>
                <c:pt idx="565">
                  <c:v>11.299999999999848</c:v>
                </c:pt>
                <c:pt idx="566">
                  <c:v>11.319999999999848</c:v>
                </c:pt>
                <c:pt idx="567">
                  <c:v>11.339999999999847</c:v>
                </c:pt>
                <c:pt idx="568">
                  <c:v>11.359999999999847</c:v>
                </c:pt>
                <c:pt idx="569">
                  <c:v>11.379999999999846</c:v>
                </c:pt>
                <c:pt idx="570">
                  <c:v>11.399999999999846</c:v>
                </c:pt>
                <c:pt idx="571">
                  <c:v>11.419999999999845</c:v>
                </c:pt>
                <c:pt idx="572">
                  <c:v>11.439999999999845</c:v>
                </c:pt>
                <c:pt idx="573">
                  <c:v>11.459999999999845</c:v>
                </c:pt>
                <c:pt idx="574">
                  <c:v>11.479999999999844</c:v>
                </c:pt>
                <c:pt idx="575">
                  <c:v>11.499999999999844</c:v>
                </c:pt>
                <c:pt idx="576">
                  <c:v>11.519999999999843</c:v>
                </c:pt>
                <c:pt idx="577">
                  <c:v>11.539999999999843</c:v>
                </c:pt>
                <c:pt idx="578">
                  <c:v>11.559999999999842</c:v>
                </c:pt>
                <c:pt idx="579">
                  <c:v>11.579999999999842</c:v>
                </c:pt>
                <c:pt idx="580">
                  <c:v>11.599999999999842</c:v>
                </c:pt>
                <c:pt idx="581">
                  <c:v>11.619999999999841</c:v>
                </c:pt>
                <c:pt idx="582">
                  <c:v>11.639999999999841</c:v>
                </c:pt>
                <c:pt idx="583">
                  <c:v>11.65999999999984</c:v>
                </c:pt>
                <c:pt idx="584">
                  <c:v>11.67999999999984</c:v>
                </c:pt>
                <c:pt idx="585">
                  <c:v>11.699999999999839</c:v>
                </c:pt>
                <c:pt idx="586">
                  <c:v>11.719999999999839</c:v>
                </c:pt>
                <c:pt idx="587">
                  <c:v>11.739999999999839</c:v>
                </c:pt>
                <c:pt idx="588">
                  <c:v>11.759999999999838</c:v>
                </c:pt>
                <c:pt idx="589">
                  <c:v>11.779999999999838</c:v>
                </c:pt>
                <c:pt idx="590">
                  <c:v>11.799999999999837</c:v>
                </c:pt>
                <c:pt idx="591">
                  <c:v>11.819999999999837</c:v>
                </c:pt>
                <c:pt idx="592">
                  <c:v>11.839999999999836</c:v>
                </c:pt>
                <c:pt idx="593">
                  <c:v>11.859999999999836</c:v>
                </c:pt>
                <c:pt idx="594">
                  <c:v>11.879999999999836</c:v>
                </c:pt>
                <c:pt idx="595">
                  <c:v>11.899999999999835</c:v>
                </c:pt>
                <c:pt idx="596">
                  <c:v>11.919999999999835</c:v>
                </c:pt>
                <c:pt idx="597">
                  <c:v>11.939999999999834</c:v>
                </c:pt>
                <c:pt idx="598">
                  <c:v>11.959999999999834</c:v>
                </c:pt>
                <c:pt idx="599">
                  <c:v>11.979999999999833</c:v>
                </c:pt>
                <c:pt idx="600">
                  <c:v>11.999999999999833</c:v>
                </c:pt>
                <c:pt idx="601">
                  <c:v>12.019999999999833</c:v>
                </c:pt>
                <c:pt idx="602">
                  <c:v>12.039999999999832</c:v>
                </c:pt>
                <c:pt idx="603">
                  <c:v>12.059999999999832</c:v>
                </c:pt>
                <c:pt idx="604">
                  <c:v>12.079999999999831</c:v>
                </c:pt>
                <c:pt idx="605">
                  <c:v>12.099999999999831</c:v>
                </c:pt>
                <c:pt idx="606">
                  <c:v>12.11999999999983</c:v>
                </c:pt>
                <c:pt idx="607">
                  <c:v>12.13999999999983</c:v>
                </c:pt>
                <c:pt idx="608">
                  <c:v>12.15999999999983</c:v>
                </c:pt>
                <c:pt idx="609">
                  <c:v>12.179999999999829</c:v>
                </c:pt>
                <c:pt idx="610">
                  <c:v>12.199999999999829</c:v>
                </c:pt>
                <c:pt idx="611">
                  <c:v>12.219999999999828</c:v>
                </c:pt>
                <c:pt idx="612">
                  <c:v>12.239999999999828</c:v>
                </c:pt>
                <c:pt idx="613">
                  <c:v>12.259999999999827</c:v>
                </c:pt>
                <c:pt idx="614">
                  <c:v>12.279999999999827</c:v>
                </c:pt>
                <c:pt idx="615">
                  <c:v>12.299999999999827</c:v>
                </c:pt>
                <c:pt idx="616">
                  <c:v>12.319999999999826</c:v>
                </c:pt>
                <c:pt idx="617">
                  <c:v>12.339999999999826</c:v>
                </c:pt>
                <c:pt idx="618">
                  <c:v>12.359999999999825</c:v>
                </c:pt>
                <c:pt idx="619">
                  <c:v>12.379999999999825</c:v>
                </c:pt>
                <c:pt idx="620">
                  <c:v>12.399999999999824</c:v>
                </c:pt>
                <c:pt idx="621">
                  <c:v>12.419999999999824</c:v>
                </c:pt>
                <c:pt idx="622">
                  <c:v>12.439999999999824</c:v>
                </c:pt>
                <c:pt idx="623">
                  <c:v>12.459999999999823</c:v>
                </c:pt>
                <c:pt idx="624">
                  <c:v>12.479999999999823</c:v>
                </c:pt>
                <c:pt idx="625">
                  <c:v>12.499999999999822</c:v>
                </c:pt>
                <c:pt idx="626">
                  <c:v>12.519999999999822</c:v>
                </c:pt>
                <c:pt idx="627">
                  <c:v>12.539999999999822</c:v>
                </c:pt>
                <c:pt idx="628">
                  <c:v>12.559999999999821</c:v>
                </c:pt>
                <c:pt idx="629">
                  <c:v>12.579999999999821</c:v>
                </c:pt>
                <c:pt idx="630">
                  <c:v>12.59999999999982</c:v>
                </c:pt>
                <c:pt idx="631">
                  <c:v>12.61999999999982</c:v>
                </c:pt>
                <c:pt idx="632">
                  <c:v>12.639999999999819</c:v>
                </c:pt>
                <c:pt idx="633">
                  <c:v>12.659999999999819</c:v>
                </c:pt>
                <c:pt idx="634">
                  <c:v>12.679999999999819</c:v>
                </c:pt>
                <c:pt idx="635">
                  <c:v>12.699999999999818</c:v>
                </c:pt>
                <c:pt idx="636">
                  <c:v>12.719999999999818</c:v>
                </c:pt>
                <c:pt idx="637">
                  <c:v>12.739999999999817</c:v>
                </c:pt>
                <c:pt idx="638">
                  <c:v>12.759999999999817</c:v>
                </c:pt>
                <c:pt idx="639">
                  <c:v>12.779999999999816</c:v>
                </c:pt>
                <c:pt idx="640">
                  <c:v>12.799999999999816</c:v>
                </c:pt>
                <c:pt idx="641">
                  <c:v>12.819999999999816</c:v>
                </c:pt>
                <c:pt idx="642">
                  <c:v>12.839999999999815</c:v>
                </c:pt>
                <c:pt idx="643">
                  <c:v>12.859999999999815</c:v>
                </c:pt>
                <c:pt idx="644">
                  <c:v>12.879999999999814</c:v>
                </c:pt>
                <c:pt idx="645">
                  <c:v>12.899999999999814</c:v>
                </c:pt>
                <c:pt idx="646">
                  <c:v>12.919999999999813</c:v>
                </c:pt>
                <c:pt idx="647">
                  <c:v>12.939999999999813</c:v>
                </c:pt>
                <c:pt idx="648">
                  <c:v>12.959999999999813</c:v>
                </c:pt>
                <c:pt idx="649">
                  <c:v>12.979999999999812</c:v>
                </c:pt>
                <c:pt idx="650">
                  <c:v>12.999999999999812</c:v>
                </c:pt>
                <c:pt idx="651">
                  <c:v>13.019999999999811</c:v>
                </c:pt>
                <c:pt idx="652">
                  <c:v>13.039999999999811</c:v>
                </c:pt>
                <c:pt idx="653">
                  <c:v>13.05999999999981</c:v>
                </c:pt>
                <c:pt idx="654">
                  <c:v>13.07999999999981</c:v>
                </c:pt>
                <c:pt idx="655">
                  <c:v>13.09999999999981</c:v>
                </c:pt>
                <c:pt idx="656">
                  <c:v>13.119999999999809</c:v>
                </c:pt>
                <c:pt idx="657">
                  <c:v>13.139999999999809</c:v>
                </c:pt>
                <c:pt idx="658">
                  <c:v>13.159999999999808</c:v>
                </c:pt>
                <c:pt idx="659">
                  <c:v>13.179999999999808</c:v>
                </c:pt>
                <c:pt idx="660">
                  <c:v>13.199999999999807</c:v>
                </c:pt>
                <c:pt idx="661">
                  <c:v>13.219999999999807</c:v>
                </c:pt>
                <c:pt idx="662">
                  <c:v>13.239999999999807</c:v>
                </c:pt>
                <c:pt idx="663">
                  <c:v>13.259999999999806</c:v>
                </c:pt>
                <c:pt idx="664">
                  <c:v>13.279999999999806</c:v>
                </c:pt>
                <c:pt idx="665">
                  <c:v>13.299999999999805</c:v>
                </c:pt>
                <c:pt idx="666">
                  <c:v>13.319999999999805</c:v>
                </c:pt>
                <c:pt idx="667">
                  <c:v>13.339999999999804</c:v>
                </c:pt>
                <c:pt idx="668">
                  <c:v>13.359999999999804</c:v>
                </c:pt>
                <c:pt idx="669">
                  <c:v>13.379999999999804</c:v>
                </c:pt>
                <c:pt idx="670">
                  <c:v>13.399999999999803</c:v>
                </c:pt>
                <c:pt idx="671">
                  <c:v>13.419999999999803</c:v>
                </c:pt>
                <c:pt idx="672">
                  <c:v>13.439999999999802</c:v>
                </c:pt>
                <c:pt idx="673">
                  <c:v>13.459999999999802</c:v>
                </c:pt>
                <c:pt idx="674">
                  <c:v>13.479999999999801</c:v>
                </c:pt>
                <c:pt idx="675">
                  <c:v>13.499999999999801</c:v>
                </c:pt>
                <c:pt idx="676">
                  <c:v>13.519999999999801</c:v>
                </c:pt>
                <c:pt idx="677">
                  <c:v>13.5399999999998</c:v>
                </c:pt>
                <c:pt idx="678">
                  <c:v>13.5599999999998</c:v>
                </c:pt>
                <c:pt idx="679">
                  <c:v>13.579999999999799</c:v>
                </c:pt>
                <c:pt idx="680">
                  <c:v>13.599999999999799</c:v>
                </c:pt>
                <c:pt idx="681">
                  <c:v>13.619999999999798</c:v>
                </c:pt>
                <c:pt idx="682">
                  <c:v>13.639999999999798</c:v>
                </c:pt>
                <c:pt idx="683">
                  <c:v>13.659999999999798</c:v>
                </c:pt>
                <c:pt idx="684">
                  <c:v>13.679999999999797</c:v>
                </c:pt>
                <c:pt idx="685">
                  <c:v>13.699999999999797</c:v>
                </c:pt>
                <c:pt idx="686">
                  <c:v>13.719999999999796</c:v>
                </c:pt>
                <c:pt idx="687">
                  <c:v>13.739999999999796</c:v>
                </c:pt>
                <c:pt idx="688">
                  <c:v>13.759999999999796</c:v>
                </c:pt>
                <c:pt idx="689">
                  <c:v>13.779999999999795</c:v>
                </c:pt>
                <c:pt idx="690">
                  <c:v>13.799999999999795</c:v>
                </c:pt>
                <c:pt idx="691">
                  <c:v>13.819999999999794</c:v>
                </c:pt>
                <c:pt idx="692">
                  <c:v>13.839999999999794</c:v>
                </c:pt>
                <c:pt idx="693">
                  <c:v>13.859999999999793</c:v>
                </c:pt>
                <c:pt idx="694">
                  <c:v>13.879999999999793</c:v>
                </c:pt>
                <c:pt idx="695">
                  <c:v>13.899999999999793</c:v>
                </c:pt>
                <c:pt idx="696">
                  <c:v>13.919999999999792</c:v>
                </c:pt>
                <c:pt idx="697">
                  <c:v>13.939999999999792</c:v>
                </c:pt>
                <c:pt idx="698">
                  <c:v>13.959999999999791</c:v>
                </c:pt>
                <c:pt idx="699">
                  <c:v>13.979999999999791</c:v>
                </c:pt>
                <c:pt idx="700">
                  <c:v>13.99999999999979</c:v>
                </c:pt>
                <c:pt idx="701">
                  <c:v>14.01999999999979</c:v>
                </c:pt>
                <c:pt idx="702">
                  <c:v>14.03999999999979</c:v>
                </c:pt>
                <c:pt idx="703">
                  <c:v>14.059999999999789</c:v>
                </c:pt>
                <c:pt idx="704">
                  <c:v>14.079999999999789</c:v>
                </c:pt>
                <c:pt idx="705">
                  <c:v>14.099999999999788</c:v>
                </c:pt>
                <c:pt idx="706">
                  <c:v>14.119999999999788</c:v>
                </c:pt>
                <c:pt idx="707">
                  <c:v>14.139999999999787</c:v>
                </c:pt>
                <c:pt idx="708">
                  <c:v>14.159999999999787</c:v>
                </c:pt>
                <c:pt idx="709">
                  <c:v>14.179999999999787</c:v>
                </c:pt>
                <c:pt idx="710">
                  <c:v>14.199999999999786</c:v>
                </c:pt>
                <c:pt idx="711">
                  <c:v>14.219999999999786</c:v>
                </c:pt>
              </c:numCache>
            </c:numRef>
          </c:xVal>
          <c:yVal>
            <c:numRef>
              <c:f>AngleFunction!$D$20:$D$731</c:f>
              <c:numCache>
                <c:formatCode>General</c:formatCode>
                <c:ptCount val="712"/>
                <c:pt idx="0">
                  <c:v>0</c:v>
                </c:pt>
                <c:pt idx="1">
                  <c:v>0</c:v>
                </c:pt>
                <c:pt idx="2">
                  <c:v>0.12</c:v>
                </c:pt>
                <c:pt idx="3">
                  <c:v>0.36</c:v>
                </c:pt>
                <c:pt idx="4">
                  <c:v>0.72</c:v>
                </c:pt>
                <c:pt idx="5">
                  <c:v>1.2</c:v>
                </c:pt>
                <c:pt idx="6">
                  <c:v>1.7999999999999998</c:v>
                </c:pt>
                <c:pt idx="7">
                  <c:v>2.5199999999999996</c:v>
                </c:pt>
                <c:pt idx="8">
                  <c:v>3.3599999999999994</c:v>
                </c:pt>
                <c:pt idx="9">
                  <c:v>4.3199999999999994</c:v>
                </c:pt>
                <c:pt idx="10">
                  <c:v>5.3999999999999995</c:v>
                </c:pt>
                <c:pt idx="11">
                  <c:v>6.6</c:v>
                </c:pt>
                <c:pt idx="12">
                  <c:v>7.92</c:v>
                </c:pt>
                <c:pt idx="13">
                  <c:v>9.36</c:v>
                </c:pt>
                <c:pt idx="14">
                  <c:v>10.85</c:v>
                </c:pt>
                <c:pt idx="15">
                  <c:v>12.34</c:v>
                </c:pt>
                <c:pt idx="16">
                  <c:v>13.83</c:v>
                </c:pt>
                <c:pt idx="17">
                  <c:v>15.32</c:v>
                </c:pt>
                <c:pt idx="18">
                  <c:v>16.809999999999999</c:v>
                </c:pt>
                <c:pt idx="19">
                  <c:v>18.299999999999997</c:v>
                </c:pt>
                <c:pt idx="20">
                  <c:v>19.789999999999996</c:v>
                </c:pt>
                <c:pt idx="21">
                  <c:v>21.279999999999994</c:v>
                </c:pt>
                <c:pt idx="22">
                  <c:v>22.769999999999992</c:v>
                </c:pt>
                <c:pt idx="23">
                  <c:v>24.259999999999991</c:v>
                </c:pt>
                <c:pt idx="24">
                  <c:v>25.749999999999989</c:v>
                </c:pt>
                <c:pt idx="25">
                  <c:v>27.239999999999988</c:v>
                </c:pt>
                <c:pt idx="26">
                  <c:v>28.729999999999986</c:v>
                </c:pt>
                <c:pt idx="27">
                  <c:v>30.219999999999985</c:v>
                </c:pt>
                <c:pt idx="28">
                  <c:v>31.709999999999983</c:v>
                </c:pt>
                <c:pt idx="29">
                  <c:v>33.199999999999982</c:v>
                </c:pt>
                <c:pt idx="30">
                  <c:v>34.689999999999984</c:v>
                </c:pt>
                <c:pt idx="31">
                  <c:v>36.179999999999986</c:v>
                </c:pt>
                <c:pt idx="32">
                  <c:v>37.669999999999987</c:v>
                </c:pt>
                <c:pt idx="33">
                  <c:v>39.159999999999989</c:v>
                </c:pt>
                <c:pt idx="34">
                  <c:v>40.649999999999991</c:v>
                </c:pt>
                <c:pt idx="35">
                  <c:v>42.139999999999993</c:v>
                </c:pt>
                <c:pt idx="36">
                  <c:v>43.629999999999995</c:v>
                </c:pt>
                <c:pt idx="37">
                  <c:v>45.12</c:v>
                </c:pt>
                <c:pt idx="38">
                  <c:v>46.61</c:v>
                </c:pt>
                <c:pt idx="39">
                  <c:v>48.1</c:v>
                </c:pt>
                <c:pt idx="40">
                  <c:v>49.59</c:v>
                </c:pt>
                <c:pt idx="41">
                  <c:v>51.080000000000005</c:v>
                </c:pt>
                <c:pt idx="42">
                  <c:v>52.570000000000007</c:v>
                </c:pt>
                <c:pt idx="43">
                  <c:v>54.060000000000009</c:v>
                </c:pt>
                <c:pt idx="44">
                  <c:v>55.550000000000011</c:v>
                </c:pt>
                <c:pt idx="45">
                  <c:v>57.040000000000013</c:v>
                </c:pt>
                <c:pt idx="46">
                  <c:v>58.530000000000015</c:v>
                </c:pt>
                <c:pt idx="47">
                  <c:v>59.900000000000013</c:v>
                </c:pt>
                <c:pt idx="48">
                  <c:v>61.150000000000013</c:v>
                </c:pt>
                <c:pt idx="49">
                  <c:v>62.280000000000015</c:v>
                </c:pt>
                <c:pt idx="50">
                  <c:v>63.290000000000013</c:v>
                </c:pt>
                <c:pt idx="51">
                  <c:v>64.180000000000007</c:v>
                </c:pt>
                <c:pt idx="52">
                  <c:v>64.95</c:v>
                </c:pt>
                <c:pt idx="53">
                  <c:v>65.600000000000009</c:v>
                </c:pt>
                <c:pt idx="54">
                  <c:v>66.13000000000001</c:v>
                </c:pt>
                <c:pt idx="55">
                  <c:v>66.540000000000006</c:v>
                </c:pt>
                <c:pt idx="56">
                  <c:v>66.830000000000013</c:v>
                </c:pt>
                <c:pt idx="57">
                  <c:v>67.000000000000014</c:v>
                </c:pt>
                <c:pt idx="58">
                  <c:v>67.050000000000011</c:v>
                </c:pt>
                <c:pt idx="59">
                  <c:v>67.050000000000011</c:v>
                </c:pt>
                <c:pt idx="60">
                  <c:v>67.050000000000011</c:v>
                </c:pt>
                <c:pt idx="61">
                  <c:v>67.050000000000011</c:v>
                </c:pt>
                <c:pt idx="62">
                  <c:v>67.050000000000011</c:v>
                </c:pt>
                <c:pt idx="63">
                  <c:v>67.050000000000011</c:v>
                </c:pt>
                <c:pt idx="64">
                  <c:v>67.050000000000011</c:v>
                </c:pt>
                <c:pt idx="65">
                  <c:v>67.050000000000011</c:v>
                </c:pt>
                <c:pt idx="66">
                  <c:v>67.050000000000011</c:v>
                </c:pt>
                <c:pt idx="67">
                  <c:v>67.050000000000011</c:v>
                </c:pt>
                <c:pt idx="68">
                  <c:v>67.050000000000011</c:v>
                </c:pt>
                <c:pt idx="69">
                  <c:v>67.050000000000011</c:v>
                </c:pt>
                <c:pt idx="70">
                  <c:v>67.050000000000011</c:v>
                </c:pt>
                <c:pt idx="71">
                  <c:v>67.050000000000011</c:v>
                </c:pt>
                <c:pt idx="72">
                  <c:v>67.050000000000011</c:v>
                </c:pt>
                <c:pt idx="73">
                  <c:v>67.050000000000011</c:v>
                </c:pt>
                <c:pt idx="74">
                  <c:v>67.050000000000011</c:v>
                </c:pt>
                <c:pt idx="75">
                  <c:v>67.050000000000011</c:v>
                </c:pt>
                <c:pt idx="76">
                  <c:v>67.050000000000011</c:v>
                </c:pt>
                <c:pt idx="77">
                  <c:v>67.050000000000011</c:v>
                </c:pt>
                <c:pt idx="78">
                  <c:v>67.050000000000011</c:v>
                </c:pt>
                <c:pt idx="79">
                  <c:v>67.050000000000011</c:v>
                </c:pt>
                <c:pt idx="80">
                  <c:v>67.050000000000011</c:v>
                </c:pt>
                <c:pt idx="81">
                  <c:v>67.050000000000011</c:v>
                </c:pt>
                <c:pt idx="82">
                  <c:v>67.050000000000011</c:v>
                </c:pt>
                <c:pt idx="83">
                  <c:v>67.050000000000011</c:v>
                </c:pt>
                <c:pt idx="84">
                  <c:v>67.050000000000011</c:v>
                </c:pt>
                <c:pt idx="85">
                  <c:v>67.050000000000011</c:v>
                </c:pt>
                <c:pt idx="86">
                  <c:v>67.050000000000011</c:v>
                </c:pt>
                <c:pt idx="87">
                  <c:v>67.050000000000011</c:v>
                </c:pt>
                <c:pt idx="88">
                  <c:v>67.050000000000011</c:v>
                </c:pt>
                <c:pt idx="89">
                  <c:v>67.050000000000011</c:v>
                </c:pt>
                <c:pt idx="90">
                  <c:v>67.050000000000011</c:v>
                </c:pt>
                <c:pt idx="91">
                  <c:v>67.050000000000011</c:v>
                </c:pt>
                <c:pt idx="92">
                  <c:v>67.050000000000011</c:v>
                </c:pt>
                <c:pt idx="93">
                  <c:v>67.050000000000011</c:v>
                </c:pt>
                <c:pt idx="94">
                  <c:v>67.050000000000011</c:v>
                </c:pt>
                <c:pt idx="95">
                  <c:v>67.050000000000011</c:v>
                </c:pt>
                <c:pt idx="96">
                  <c:v>67.050000000000011</c:v>
                </c:pt>
                <c:pt idx="97">
                  <c:v>67.050000000000011</c:v>
                </c:pt>
                <c:pt idx="98">
                  <c:v>67.050000000000011</c:v>
                </c:pt>
                <c:pt idx="99">
                  <c:v>67.050000000000011</c:v>
                </c:pt>
                <c:pt idx="100">
                  <c:v>67.050000000000011</c:v>
                </c:pt>
                <c:pt idx="101">
                  <c:v>67.050000000000011</c:v>
                </c:pt>
                <c:pt idx="102">
                  <c:v>67.050000000000011</c:v>
                </c:pt>
                <c:pt idx="103">
                  <c:v>67.050000000000011</c:v>
                </c:pt>
                <c:pt idx="104">
                  <c:v>67.050000000000011</c:v>
                </c:pt>
                <c:pt idx="105">
                  <c:v>67.050000000000011</c:v>
                </c:pt>
                <c:pt idx="106">
                  <c:v>67.050000000000011</c:v>
                </c:pt>
                <c:pt idx="107">
                  <c:v>67.050000000000011</c:v>
                </c:pt>
                <c:pt idx="108">
                  <c:v>67.050000000000011</c:v>
                </c:pt>
                <c:pt idx="109">
                  <c:v>67.050000000000011</c:v>
                </c:pt>
                <c:pt idx="110">
                  <c:v>67.050000000000011</c:v>
                </c:pt>
                <c:pt idx="111">
                  <c:v>67.050000000000011</c:v>
                </c:pt>
                <c:pt idx="112">
                  <c:v>67.050000000000011</c:v>
                </c:pt>
                <c:pt idx="113">
                  <c:v>67.050000000000011</c:v>
                </c:pt>
                <c:pt idx="114">
                  <c:v>67.050000000000011</c:v>
                </c:pt>
                <c:pt idx="115">
                  <c:v>67.050000000000011</c:v>
                </c:pt>
                <c:pt idx="116">
                  <c:v>67.050000000000011</c:v>
                </c:pt>
                <c:pt idx="117">
                  <c:v>67.050000000000011</c:v>
                </c:pt>
                <c:pt idx="118">
                  <c:v>67.050000000000011</c:v>
                </c:pt>
                <c:pt idx="119">
                  <c:v>67.050000000000011</c:v>
                </c:pt>
                <c:pt idx="120">
                  <c:v>67.050000000000011</c:v>
                </c:pt>
                <c:pt idx="121">
                  <c:v>67.050000000000011</c:v>
                </c:pt>
                <c:pt idx="122">
                  <c:v>67.050000000000011</c:v>
                </c:pt>
                <c:pt idx="123">
                  <c:v>67.050000000000011</c:v>
                </c:pt>
                <c:pt idx="124">
                  <c:v>67.050000000000011</c:v>
                </c:pt>
                <c:pt idx="125">
                  <c:v>67.050000000000011</c:v>
                </c:pt>
                <c:pt idx="126">
                  <c:v>67.050000000000011</c:v>
                </c:pt>
                <c:pt idx="127">
                  <c:v>67.050000000000011</c:v>
                </c:pt>
                <c:pt idx="128">
                  <c:v>67.050000000000011</c:v>
                </c:pt>
                <c:pt idx="129">
                  <c:v>67.050000000000011</c:v>
                </c:pt>
                <c:pt idx="130">
                  <c:v>67.050000000000011</c:v>
                </c:pt>
                <c:pt idx="131">
                  <c:v>67.050000000000011</c:v>
                </c:pt>
                <c:pt idx="132">
                  <c:v>67.050000000000011</c:v>
                </c:pt>
                <c:pt idx="133">
                  <c:v>67.050000000000011</c:v>
                </c:pt>
                <c:pt idx="134">
                  <c:v>67.050000000000011</c:v>
                </c:pt>
                <c:pt idx="135">
                  <c:v>67.050000000000011</c:v>
                </c:pt>
                <c:pt idx="136">
                  <c:v>67.050000000000011</c:v>
                </c:pt>
                <c:pt idx="137">
                  <c:v>67.050000000000011</c:v>
                </c:pt>
                <c:pt idx="138">
                  <c:v>67.050000000000011</c:v>
                </c:pt>
                <c:pt idx="139">
                  <c:v>67.050000000000011</c:v>
                </c:pt>
                <c:pt idx="140">
                  <c:v>67.050000000000011</c:v>
                </c:pt>
                <c:pt idx="141">
                  <c:v>67.050000000000011</c:v>
                </c:pt>
                <c:pt idx="142">
                  <c:v>67.050000000000011</c:v>
                </c:pt>
                <c:pt idx="143">
                  <c:v>67.050000000000011</c:v>
                </c:pt>
                <c:pt idx="144">
                  <c:v>67.050000000000011</c:v>
                </c:pt>
                <c:pt idx="145">
                  <c:v>67.050000000000011</c:v>
                </c:pt>
                <c:pt idx="146">
                  <c:v>67.050000000000011</c:v>
                </c:pt>
                <c:pt idx="147">
                  <c:v>67.050000000000011</c:v>
                </c:pt>
                <c:pt idx="148">
                  <c:v>67.050000000000011</c:v>
                </c:pt>
                <c:pt idx="149">
                  <c:v>67.050000000000011</c:v>
                </c:pt>
                <c:pt idx="150">
                  <c:v>67.050000000000011</c:v>
                </c:pt>
                <c:pt idx="151">
                  <c:v>67.050000000000011</c:v>
                </c:pt>
                <c:pt idx="152">
                  <c:v>67.050000000000011</c:v>
                </c:pt>
                <c:pt idx="153">
                  <c:v>67.050000000000011</c:v>
                </c:pt>
                <c:pt idx="154">
                  <c:v>67.050000000000011</c:v>
                </c:pt>
                <c:pt idx="155">
                  <c:v>67.050000000000011</c:v>
                </c:pt>
                <c:pt idx="156">
                  <c:v>67.050000000000011</c:v>
                </c:pt>
                <c:pt idx="157">
                  <c:v>67.050000000000011</c:v>
                </c:pt>
                <c:pt idx="158">
                  <c:v>67.050000000000011</c:v>
                </c:pt>
                <c:pt idx="159">
                  <c:v>67.050000000000011</c:v>
                </c:pt>
                <c:pt idx="160">
                  <c:v>67.050000000000011</c:v>
                </c:pt>
                <c:pt idx="161">
                  <c:v>67.050000000000011</c:v>
                </c:pt>
                <c:pt idx="162">
                  <c:v>67.050000000000011</c:v>
                </c:pt>
                <c:pt idx="163">
                  <c:v>67.050000000000011</c:v>
                </c:pt>
                <c:pt idx="164">
                  <c:v>67.050000000000011</c:v>
                </c:pt>
                <c:pt idx="165">
                  <c:v>67.050000000000011</c:v>
                </c:pt>
                <c:pt idx="166">
                  <c:v>67.050000000000011</c:v>
                </c:pt>
                <c:pt idx="167">
                  <c:v>67.050000000000011</c:v>
                </c:pt>
                <c:pt idx="168">
                  <c:v>67.050000000000011</c:v>
                </c:pt>
                <c:pt idx="169">
                  <c:v>67.050000000000011</c:v>
                </c:pt>
                <c:pt idx="170">
                  <c:v>67.050000000000011</c:v>
                </c:pt>
                <c:pt idx="171">
                  <c:v>67.050000000000011</c:v>
                </c:pt>
                <c:pt idx="172">
                  <c:v>67.050000000000011</c:v>
                </c:pt>
                <c:pt idx="173">
                  <c:v>67.050000000000011</c:v>
                </c:pt>
                <c:pt idx="174">
                  <c:v>67.050000000000011</c:v>
                </c:pt>
                <c:pt idx="175">
                  <c:v>67.050000000000011</c:v>
                </c:pt>
                <c:pt idx="176">
                  <c:v>67.050000000000011</c:v>
                </c:pt>
                <c:pt idx="177">
                  <c:v>67.050000000000011</c:v>
                </c:pt>
                <c:pt idx="178">
                  <c:v>67.050000000000011</c:v>
                </c:pt>
                <c:pt idx="179">
                  <c:v>67.050000000000011</c:v>
                </c:pt>
                <c:pt idx="180">
                  <c:v>67.050000000000011</c:v>
                </c:pt>
                <c:pt idx="181">
                  <c:v>67.050000000000011</c:v>
                </c:pt>
                <c:pt idx="182">
                  <c:v>67.050000000000011</c:v>
                </c:pt>
                <c:pt idx="183">
                  <c:v>67.050000000000011</c:v>
                </c:pt>
                <c:pt idx="184">
                  <c:v>67.050000000000011</c:v>
                </c:pt>
                <c:pt idx="185">
                  <c:v>67.050000000000011</c:v>
                </c:pt>
                <c:pt idx="186">
                  <c:v>67.050000000000011</c:v>
                </c:pt>
                <c:pt idx="187">
                  <c:v>67.050000000000011</c:v>
                </c:pt>
                <c:pt idx="188">
                  <c:v>67.050000000000011</c:v>
                </c:pt>
                <c:pt idx="189">
                  <c:v>67.050000000000011</c:v>
                </c:pt>
                <c:pt idx="190">
                  <c:v>67.050000000000011</c:v>
                </c:pt>
                <c:pt idx="191">
                  <c:v>67.050000000000011</c:v>
                </c:pt>
                <c:pt idx="192">
                  <c:v>67.050000000000011</c:v>
                </c:pt>
                <c:pt idx="193">
                  <c:v>67.050000000000011</c:v>
                </c:pt>
                <c:pt idx="194">
                  <c:v>67.050000000000011</c:v>
                </c:pt>
                <c:pt idx="195">
                  <c:v>67.050000000000011</c:v>
                </c:pt>
                <c:pt idx="196">
                  <c:v>67.050000000000011</c:v>
                </c:pt>
                <c:pt idx="197">
                  <c:v>67.050000000000011</c:v>
                </c:pt>
                <c:pt idx="198">
                  <c:v>67.050000000000011</c:v>
                </c:pt>
                <c:pt idx="199">
                  <c:v>67.050000000000011</c:v>
                </c:pt>
                <c:pt idx="200">
                  <c:v>67.050000000000011</c:v>
                </c:pt>
                <c:pt idx="201">
                  <c:v>67.050000000000011</c:v>
                </c:pt>
                <c:pt idx="202">
                  <c:v>67.050000000000011</c:v>
                </c:pt>
                <c:pt idx="203">
                  <c:v>67.050000000000011</c:v>
                </c:pt>
                <c:pt idx="204">
                  <c:v>67.050000000000011</c:v>
                </c:pt>
                <c:pt idx="205">
                  <c:v>67.050000000000011</c:v>
                </c:pt>
                <c:pt idx="206">
                  <c:v>67.050000000000011</c:v>
                </c:pt>
                <c:pt idx="207">
                  <c:v>67.050000000000011</c:v>
                </c:pt>
                <c:pt idx="208">
                  <c:v>67.050000000000011</c:v>
                </c:pt>
                <c:pt idx="209">
                  <c:v>67.050000000000011</c:v>
                </c:pt>
                <c:pt idx="210">
                  <c:v>67.050000000000011</c:v>
                </c:pt>
                <c:pt idx="211">
                  <c:v>67.050000000000011</c:v>
                </c:pt>
                <c:pt idx="212">
                  <c:v>67.050000000000011</c:v>
                </c:pt>
                <c:pt idx="213">
                  <c:v>67.050000000000011</c:v>
                </c:pt>
                <c:pt idx="214">
                  <c:v>67.050000000000011</c:v>
                </c:pt>
                <c:pt idx="215">
                  <c:v>67.050000000000011</c:v>
                </c:pt>
                <c:pt idx="216">
                  <c:v>67.050000000000011</c:v>
                </c:pt>
                <c:pt idx="217">
                  <c:v>67.050000000000011</c:v>
                </c:pt>
                <c:pt idx="218">
                  <c:v>67.050000000000011</c:v>
                </c:pt>
                <c:pt idx="219">
                  <c:v>67.050000000000011</c:v>
                </c:pt>
                <c:pt idx="220">
                  <c:v>67.050000000000011</c:v>
                </c:pt>
                <c:pt idx="221">
                  <c:v>67.050000000000011</c:v>
                </c:pt>
                <c:pt idx="222">
                  <c:v>67.050000000000011</c:v>
                </c:pt>
                <c:pt idx="223">
                  <c:v>67.050000000000011</c:v>
                </c:pt>
                <c:pt idx="224">
                  <c:v>67.050000000000011</c:v>
                </c:pt>
                <c:pt idx="225">
                  <c:v>67.050000000000011</c:v>
                </c:pt>
                <c:pt idx="226">
                  <c:v>67.050000000000011</c:v>
                </c:pt>
                <c:pt idx="227">
                  <c:v>67.050000000000011</c:v>
                </c:pt>
                <c:pt idx="228">
                  <c:v>67.050000000000011</c:v>
                </c:pt>
                <c:pt idx="229">
                  <c:v>67.050000000000011</c:v>
                </c:pt>
                <c:pt idx="230">
                  <c:v>67.050000000000011</c:v>
                </c:pt>
                <c:pt idx="231">
                  <c:v>67.050000000000011</c:v>
                </c:pt>
                <c:pt idx="232">
                  <c:v>67.050000000000011</c:v>
                </c:pt>
                <c:pt idx="233">
                  <c:v>67.050000000000011</c:v>
                </c:pt>
                <c:pt idx="234">
                  <c:v>67.050000000000011</c:v>
                </c:pt>
                <c:pt idx="235">
                  <c:v>67.050000000000011</c:v>
                </c:pt>
                <c:pt idx="236">
                  <c:v>67.050000000000011</c:v>
                </c:pt>
                <c:pt idx="237">
                  <c:v>67.050000000000011</c:v>
                </c:pt>
                <c:pt idx="238">
                  <c:v>67.050000000000011</c:v>
                </c:pt>
                <c:pt idx="239">
                  <c:v>67.050000000000011</c:v>
                </c:pt>
                <c:pt idx="240">
                  <c:v>67.050000000000011</c:v>
                </c:pt>
                <c:pt idx="241">
                  <c:v>67.050000000000011</c:v>
                </c:pt>
                <c:pt idx="242">
                  <c:v>67.050000000000011</c:v>
                </c:pt>
                <c:pt idx="243">
                  <c:v>67.050000000000011</c:v>
                </c:pt>
                <c:pt idx="244">
                  <c:v>67.050000000000011</c:v>
                </c:pt>
                <c:pt idx="245">
                  <c:v>67.050000000000011</c:v>
                </c:pt>
                <c:pt idx="246">
                  <c:v>67.050000000000011</c:v>
                </c:pt>
                <c:pt idx="247">
                  <c:v>67.050000000000011</c:v>
                </c:pt>
                <c:pt idx="248">
                  <c:v>67.050000000000011</c:v>
                </c:pt>
                <c:pt idx="249">
                  <c:v>67.050000000000011</c:v>
                </c:pt>
                <c:pt idx="250">
                  <c:v>67.050000000000011</c:v>
                </c:pt>
                <c:pt idx="251">
                  <c:v>67.050000000000011</c:v>
                </c:pt>
                <c:pt idx="252">
                  <c:v>67.050000000000011</c:v>
                </c:pt>
                <c:pt idx="253">
                  <c:v>67.050000000000011</c:v>
                </c:pt>
                <c:pt idx="254">
                  <c:v>67.050000000000011</c:v>
                </c:pt>
                <c:pt idx="255">
                  <c:v>67.050000000000011</c:v>
                </c:pt>
                <c:pt idx="256">
                  <c:v>67.050000000000011</c:v>
                </c:pt>
                <c:pt idx="257">
                  <c:v>67.050000000000011</c:v>
                </c:pt>
                <c:pt idx="258">
                  <c:v>67.050000000000011</c:v>
                </c:pt>
                <c:pt idx="259">
                  <c:v>67.050000000000011</c:v>
                </c:pt>
                <c:pt idx="260">
                  <c:v>67.050000000000011</c:v>
                </c:pt>
                <c:pt idx="261">
                  <c:v>67.050000000000011</c:v>
                </c:pt>
                <c:pt idx="262">
                  <c:v>67.050000000000011</c:v>
                </c:pt>
                <c:pt idx="263">
                  <c:v>67.050000000000011</c:v>
                </c:pt>
                <c:pt idx="264">
                  <c:v>67.050000000000011</c:v>
                </c:pt>
                <c:pt idx="265">
                  <c:v>67.050000000000011</c:v>
                </c:pt>
                <c:pt idx="266">
                  <c:v>67.050000000000011</c:v>
                </c:pt>
                <c:pt idx="267">
                  <c:v>67.050000000000011</c:v>
                </c:pt>
                <c:pt idx="268">
                  <c:v>67.050000000000011</c:v>
                </c:pt>
                <c:pt idx="269">
                  <c:v>67.050000000000011</c:v>
                </c:pt>
                <c:pt idx="270">
                  <c:v>67.050000000000011</c:v>
                </c:pt>
                <c:pt idx="271">
                  <c:v>67.050000000000011</c:v>
                </c:pt>
                <c:pt idx="272">
                  <c:v>67.050000000000011</c:v>
                </c:pt>
                <c:pt idx="273">
                  <c:v>67.050000000000011</c:v>
                </c:pt>
                <c:pt idx="274">
                  <c:v>67.050000000000011</c:v>
                </c:pt>
                <c:pt idx="275">
                  <c:v>67.050000000000011</c:v>
                </c:pt>
                <c:pt idx="276">
                  <c:v>67.050000000000011</c:v>
                </c:pt>
                <c:pt idx="277">
                  <c:v>67.050000000000011</c:v>
                </c:pt>
                <c:pt idx="278">
                  <c:v>67.050000000000011</c:v>
                </c:pt>
                <c:pt idx="279">
                  <c:v>67.050000000000011</c:v>
                </c:pt>
                <c:pt idx="280">
                  <c:v>67.050000000000011</c:v>
                </c:pt>
                <c:pt idx="281">
                  <c:v>67.050000000000011</c:v>
                </c:pt>
                <c:pt idx="282">
                  <c:v>67.050000000000011</c:v>
                </c:pt>
                <c:pt idx="283">
                  <c:v>67.050000000000011</c:v>
                </c:pt>
                <c:pt idx="284">
                  <c:v>67.050000000000011</c:v>
                </c:pt>
                <c:pt idx="285">
                  <c:v>67.050000000000011</c:v>
                </c:pt>
                <c:pt idx="286">
                  <c:v>67.050000000000011</c:v>
                </c:pt>
                <c:pt idx="287">
                  <c:v>67.050000000000011</c:v>
                </c:pt>
                <c:pt idx="288">
                  <c:v>67.050000000000011</c:v>
                </c:pt>
                <c:pt idx="289">
                  <c:v>67.050000000000011</c:v>
                </c:pt>
                <c:pt idx="290">
                  <c:v>67.050000000000011</c:v>
                </c:pt>
                <c:pt idx="291">
                  <c:v>67.050000000000011</c:v>
                </c:pt>
                <c:pt idx="292">
                  <c:v>67.050000000000011</c:v>
                </c:pt>
                <c:pt idx="293">
                  <c:v>67.050000000000011</c:v>
                </c:pt>
                <c:pt idx="294">
                  <c:v>67.050000000000011</c:v>
                </c:pt>
                <c:pt idx="295">
                  <c:v>67.050000000000011</c:v>
                </c:pt>
                <c:pt idx="296">
                  <c:v>67.050000000000011</c:v>
                </c:pt>
                <c:pt idx="297">
                  <c:v>67.050000000000011</c:v>
                </c:pt>
                <c:pt idx="298">
                  <c:v>67.050000000000011</c:v>
                </c:pt>
                <c:pt idx="299">
                  <c:v>67.050000000000011</c:v>
                </c:pt>
                <c:pt idx="300">
                  <c:v>67.050000000000011</c:v>
                </c:pt>
                <c:pt idx="301">
                  <c:v>67.050000000000011</c:v>
                </c:pt>
                <c:pt idx="302">
                  <c:v>67.050000000000011</c:v>
                </c:pt>
                <c:pt idx="303">
                  <c:v>67.050000000000011</c:v>
                </c:pt>
                <c:pt idx="304">
                  <c:v>67.050000000000011</c:v>
                </c:pt>
                <c:pt idx="305">
                  <c:v>67.050000000000011</c:v>
                </c:pt>
                <c:pt idx="306">
                  <c:v>67.050000000000011</c:v>
                </c:pt>
                <c:pt idx="307">
                  <c:v>67.050000000000011</c:v>
                </c:pt>
                <c:pt idx="308">
                  <c:v>67.050000000000011</c:v>
                </c:pt>
                <c:pt idx="309">
                  <c:v>67.050000000000011</c:v>
                </c:pt>
                <c:pt idx="310">
                  <c:v>67.050000000000011</c:v>
                </c:pt>
                <c:pt idx="311">
                  <c:v>67.050000000000011</c:v>
                </c:pt>
                <c:pt idx="312">
                  <c:v>67.050000000000011</c:v>
                </c:pt>
                <c:pt idx="313">
                  <c:v>67.050000000000011</c:v>
                </c:pt>
                <c:pt idx="314">
                  <c:v>67.050000000000011</c:v>
                </c:pt>
                <c:pt idx="315">
                  <c:v>67.050000000000011</c:v>
                </c:pt>
                <c:pt idx="316">
                  <c:v>67.050000000000011</c:v>
                </c:pt>
                <c:pt idx="317">
                  <c:v>67.050000000000011</c:v>
                </c:pt>
                <c:pt idx="318">
                  <c:v>67.050000000000011</c:v>
                </c:pt>
                <c:pt idx="319">
                  <c:v>67.050000000000011</c:v>
                </c:pt>
                <c:pt idx="320">
                  <c:v>67.050000000000011</c:v>
                </c:pt>
                <c:pt idx="321">
                  <c:v>67.050000000000011</c:v>
                </c:pt>
                <c:pt idx="322">
                  <c:v>67.050000000000011</c:v>
                </c:pt>
                <c:pt idx="323">
                  <c:v>67.050000000000011</c:v>
                </c:pt>
                <c:pt idx="324">
                  <c:v>67.050000000000011</c:v>
                </c:pt>
                <c:pt idx="325">
                  <c:v>67.050000000000011</c:v>
                </c:pt>
                <c:pt idx="326">
                  <c:v>67.050000000000011</c:v>
                </c:pt>
                <c:pt idx="327">
                  <c:v>67.050000000000011</c:v>
                </c:pt>
                <c:pt idx="328">
                  <c:v>67.050000000000011</c:v>
                </c:pt>
                <c:pt idx="329">
                  <c:v>67.050000000000011</c:v>
                </c:pt>
                <c:pt idx="330">
                  <c:v>67.050000000000011</c:v>
                </c:pt>
                <c:pt idx="331">
                  <c:v>67.050000000000011</c:v>
                </c:pt>
                <c:pt idx="332">
                  <c:v>67.050000000000011</c:v>
                </c:pt>
                <c:pt idx="333">
                  <c:v>67.050000000000011</c:v>
                </c:pt>
                <c:pt idx="334">
                  <c:v>67.050000000000011</c:v>
                </c:pt>
                <c:pt idx="335">
                  <c:v>67.050000000000011</c:v>
                </c:pt>
                <c:pt idx="336">
                  <c:v>67.050000000000011</c:v>
                </c:pt>
                <c:pt idx="337">
                  <c:v>67.050000000000011</c:v>
                </c:pt>
                <c:pt idx="338">
                  <c:v>67.050000000000011</c:v>
                </c:pt>
                <c:pt idx="339">
                  <c:v>67.050000000000011</c:v>
                </c:pt>
                <c:pt idx="340">
                  <c:v>67.050000000000011</c:v>
                </c:pt>
                <c:pt idx="341">
                  <c:v>67.050000000000011</c:v>
                </c:pt>
                <c:pt idx="342">
                  <c:v>67.050000000000011</c:v>
                </c:pt>
                <c:pt idx="343">
                  <c:v>67.050000000000011</c:v>
                </c:pt>
                <c:pt idx="344">
                  <c:v>67.050000000000011</c:v>
                </c:pt>
                <c:pt idx="345">
                  <c:v>67.050000000000011</c:v>
                </c:pt>
                <c:pt idx="346">
                  <c:v>67.050000000000011</c:v>
                </c:pt>
                <c:pt idx="347">
                  <c:v>67.050000000000011</c:v>
                </c:pt>
                <c:pt idx="348">
                  <c:v>67.050000000000011</c:v>
                </c:pt>
                <c:pt idx="349">
                  <c:v>67.050000000000011</c:v>
                </c:pt>
                <c:pt idx="350">
                  <c:v>67.050000000000011</c:v>
                </c:pt>
                <c:pt idx="351">
                  <c:v>67.050000000000011</c:v>
                </c:pt>
                <c:pt idx="352">
                  <c:v>67.050000000000011</c:v>
                </c:pt>
                <c:pt idx="353">
                  <c:v>67.050000000000011</c:v>
                </c:pt>
                <c:pt idx="354">
                  <c:v>67.050000000000011</c:v>
                </c:pt>
                <c:pt idx="355">
                  <c:v>67.050000000000011</c:v>
                </c:pt>
                <c:pt idx="356">
                  <c:v>67.050000000000011</c:v>
                </c:pt>
                <c:pt idx="357">
                  <c:v>67.050000000000011</c:v>
                </c:pt>
                <c:pt idx="358">
                  <c:v>67.050000000000011</c:v>
                </c:pt>
                <c:pt idx="359">
                  <c:v>67.050000000000011</c:v>
                </c:pt>
                <c:pt idx="360">
                  <c:v>67.050000000000011</c:v>
                </c:pt>
                <c:pt idx="361">
                  <c:v>67.050000000000011</c:v>
                </c:pt>
                <c:pt idx="362">
                  <c:v>67.050000000000011</c:v>
                </c:pt>
                <c:pt idx="363">
                  <c:v>67.050000000000011</c:v>
                </c:pt>
                <c:pt idx="364">
                  <c:v>67.050000000000011</c:v>
                </c:pt>
                <c:pt idx="365">
                  <c:v>67.050000000000011</c:v>
                </c:pt>
                <c:pt idx="366">
                  <c:v>67.050000000000011</c:v>
                </c:pt>
                <c:pt idx="367">
                  <c:v>67.050000000000011</c:v>
                </c:pt>
                <c:pt idx="368">
                  <c:v>67.050000000000011</c:v>
                </c:pt>
                <c:pt idx="369">
                  <c:v>67.050000000000011</c:v>
                </c:pt>
                <c:pt idx="370">
                  <c:v>67.050000000000011</c:v>
                </c:pt>
                <c:pt idx="371">
                  <c:v>67.050000000000011</c:v>
                </c:pt>
                <c:pt idx="372">
                  <c:v>67.050000000000011</c:v>
                </c:pt>
                <c:pt idx="373">
                  <c:v>67.050000000000011</c:v>
                </c:pt>
                <c:pt idx="374">
                  <c:v>67.050000000000011</c:v>
                </c:pt>
                <c:pt idx="375">
                  <c:v>67.050000000000011</c:v>
                </c:pt>
                <c:pt idx="376">
                  <c:v>67.050000000000011</c:v>
                </c:pt>
                <c:pt idx="377">
                  <c:v>67.050000000000011</c:v>
                </c:pt>
                <c:pt idx="378">
                  <c:v>67.050000000000011</c:v>
                </c:pt>
                <c:pt idx="379">
                  <c:v>67.050000000000011</c:v>
                </c:pt>
                <c:pt idx="380">
                  <c:v>67.050000000000011</c:v>
                </c:pt>
                <c:pt idx="381">
                  <c:v>67.050000000000011</c:v>
                </c:pt>
                <c:pt idx="382">
                  <c:v>67.050000000000011</c:v>
                </c:pt>
                <c:pt idx="383">
                  <c:v>67.050000000000011</c:v>
                </c:pt>
                <c:pt idx="384">
                  <c:v>67.050000000000011</c:v>
                </c:pt>
                <c:pt idx="385">
                  <c:v>67.050000000000011</c:v>
                </c:pt>
                <c:pt idx="386">
                  <c:v>67.050000000000011</c:v>
                </c:pt>
                <c:pt idx="387">
                  <c:v>67.050000000000011</c:v>
                </c:pt>
                <c:pt idx="388">
                  <c:v>67.050000000000011</c:v>
                </c:pt>
                <c:pt idx="389">
                  <c:v>67.050000000000011</c:v>
                </c:pt>
                <c:pt idx="390">
                  <c:v>67.050000000000011</c:v>
                </c:pt>
                <c:pt idx="391">
                  <c:v>67.050000000000011</c:v>
                </c:pt>
                <c:pt idx="392">
                  <c:v>67.050000000000011</c:v>
                </c:pt>
                <c:pt idx="393">
                  <c:v>67.050000000000011</c:v>
                </c:pt>
                <c:pt idx="394">
                  <c:v>67.050000000000011</c:v>
                </c:pt>
                <c:pt idx="395">
                  <c:v>67.050000000000011</c:v>
                </c:pt>
                <c:pt idx="396">
                  <c:v>67.050000000000011</c:v>
                </c:pt>
                <c:pt idx="397">
                  <c:v>67.050000000000011</c:v>
                </c:pt>
                <c:pt idx="398">
                  <c:v>67.050000000000011</c:v>
                </c:pt>
                <c:pt idx="399">
                  <c:v>67.050000000000011</c:v>
                </c:pt>
                <c:pt idx="400">
                  <c:v>67.050000000000011</c:v>
                </c:pt>
                <c:pt idx="401">
                  <c:v>67.050000000000011</c:v>
                </c:pt>
                <c:pt idx="402">
                  <c:v>67.050000000000011</c:v>
                </c:pt>
                <c:pt idx="403">
                  <c:v>67.050000000000011</c:v>
                </c:pt>
                <c:pt idx="404">
                  <c:v>67.050000000000011</c:v>
                </c:pt>
                <c:pt idx="405">
                  <c:v>67.050000000000011</c:v>
                </c:pt>
                <c:pt idx="406">
                  <c:v>67.050000000000011</c:v>
                </c:pt>
                <c:pt idx="407">
                  <c:v>67.050000000000011</c:v>
                </c:pt>
                <c:pt idx="408">
                  <c:v>67.050000000000011</c:v>
                </c:pt>
                <c:pt idx="409">
                  <c:v>67.050000000000011</c:v>
                </c:pt>
                <c:pt idx="410">
                  <c:v>67.050000000000011</c:v>
                </c:pt>
                <c:pt idx="411">
                  <c:v>67.050000000000011</c:v>
                </c:pt>
                <c:pt idx="412">
                  <c:v>67.050000000000011</c:v>
                </c:pt>
                <c:pt idx="413">
                  <c:v>67.050000000000011</c:v>
                </c:pt>
                <c:pt idx="414">
                  <c:v>67.050000000000011</c:v>
                </c:pt>
                <c:pt idx="415">
                  <c:v>67.050000000000011</c:v>
                </c:pt>
                <c:pt idx="416">
                  <c:v>67.050000000000011</c:v>
                </c:pt>
                <c:pt idx="417">
                  <c:v>67.050000000000011</c:v>
                </c:pt>
                <c:pt idx="418">
                  <c:v>67.050000000000011</c:v>
                </c:pt>
                <c:pt idx="419">
                  <c:v>67.050000000000011</c:v>
                </c:pt>
                <c:pt idx="420">
                  <c:v>67.050000000000011</c:v>
                </c:pt>
                <c:pt idx="421">
                  <c:v>67.050000000000011</c:v>
                </c:pt>
                <c:pt idx="422">
                  <c:v>67.050000000000011</c:v>
                </c:pt>
                <c:pt idx="423">
                  <c:v>67.050000000000011</c:v>
                </c:pt>
                <c:pt idx="424">
                  <c:v>67.050000000000011</c:v>
                </c:pt>
                <c:pt idx="425">
                  <c:v>67.050000000000011</c:v>
                </c:pt>
                <c:pt idx="426">
                  <c:v>67.050000000000011</c:v>
                </c:pt>
                <c:pt idx="427">
                  <c:v>67.050000000000011</c:v>
                </c:pt>
                <c:pt idx="428">
                  <c:v>67.050000000000011</c:v>
                </c:pt>
                <c:pt idx="429">
                  <c:v>67.050000000000011</c:v>
                </c:pt>
                <c:pt idx="430">
                  <c:v>67.050000000000011</c:v>
                </c:pt>
                <c:pt idx="431">
                  <c:v>67.050000000000011</c:v>
                </c:pt>
                <c:pt idx="432">
                  <c:v>67.050000000000011</c:v>
                </c:pt>
                <c:pt idx="433">
                  <c:v>67.050000000000011</c:v>
                </c:pt>
                <c:pt idx="434">
                  <c:v>67.050000000000011</c:v>
                </c:pt>
                <c:pt idx="435">
                  <c:v>67.050000000000011</c:v>
                </c:pt>
                <c:pt idx="436">
                  <c:v>67.050000000000011</c:v>
                </c:pt>
                <c:pt idx="437">
                  <c:v>67.050000000000011</c:v>
                </c:pt>
                <c:pt idx="438">
                  <c:v>67.050000000000011</c:v>
                </c:pt>
                <c:pt idx="439">
                  <c:v>67.050000000000011</c:v>
                </c:pt>
                <c:pt idx="440">
                  <c:v>67.050000000000011</c:v>
                </c:pt>
                <c:pt idx="441">
                  <c:v>67.050000000000011</c:v>
                </c:pt>
                <c:pt idx="442">
                  <c:v>67.050000000000011</c:v>
                </c:pt>
                <c:pt idx="443">
                  <c:v>67.050000000000011</c:v>
                </c:pt>
                <c:pt idx="444">
                  <c:v>67.050000000000011</c:v>
                </c:pt>
                <c:pt idx="445">
                  <c:v>67.050000000000011</c:v>
                </c:pt>
                <c:pt idx="446">
                  <c:v>67.050000000000011</c:v>
                </c:pt>
                <c:pt idx="447">
                  <c:v>67.050000000000011</c:v>
                </c:pt>
                <c:pt idx="448">
                  <c:v>67.050000000000011</c:v>
                </c:pt>
                <c:pt idx="449">
                  <c:v>67.050000000000011</c:v>
                </c:pt>
                <c:pt idx="450">
                  <c:v>67.050000000000011</c:v>
                </c:pt>
                <c:pt idx="451">
                  <c:v>67.050000000000011</c:v>
                </c:pt>
                <c:pt idx="452">
                  <c:v>67.050000000000011</c:v>
                </c:pt>
                <c:pt idx="453">
                  <c:v>67.050000000000011</c:v>
                </c:pt>
                <c:pt idx="454">
                  <c:v>67.050000000000011</c:v>
                </c:pt>
                <c:pt idx="455">
                  <c:v>67.050000000000011</c:v>
                </c:pt>
                <c:pt idx="456">
                  <c:v>67.050000000000011</c:v>
                </c:pt>
                <c:pt idx="457">
                  <c:v>67.050000000000011</c:v>
                </c:pt>
                <c:pt idx="458">
                  <c:v>67.050000000000011</c:v>
                </c:pt>
                <c:pt idx="459">
                  <c:v>67.050000000000011</c:v>
                </c:pt>
                <c:pt idx="460">
                  <c:v>67.050000000000011</c:v>
                </c:pt>
                <c:pt idx="461">
                  <c:v>67.050000000000011</c:v>
                </c:pt>
                <c:pt idx="462">
                  <c:v>67.050000000000011</c:v>
                </c:pt>
                <c:pt idx="463">
                  <c:v>67.050000000000011</c:v>
                </c:pt>
                <c:pt idx="464">
                  <c:v>67.050000000000011</c:v>
                </c:pt>
                <c:pt idx="465">
                  <c:v>67.050000000000011</c:v>
                </c:pt>
                <c:pt idx="466">
                  <c:v>67.050000000000011</c:v>
                </c:pt>
                <c:pt idx="467">
                  <c:v>67.050000000000011</c:v>
                </c:pt>
                <c:pt idx="468">
                  <c:v>67.050000000000011</c:v>
                </c:pt>
                <c:pt idx="469">
                  <c:v>67.050000000000011</c:v>
                </c:pt>
                <c:pt idx="470">
                  <c:v>67.050000000000011</c:v>
                </c:pt>
                <c:pt idx="471">
                  <c:v>67.050000000000011</c:v>
                </c:pt>
                <c:pt idx="472">
                  <c:v>67.050000000000011</c:v>
                </c:pt>
                <c:pt idx="473">
                  <c:v>67.050000000000011</c:v>
                </c:pt>
                <c:pt idx="474">
                  <c:v>67.050000000000011</c:v>
                </c:pt>
                <c:pt idx="475">
                  <c:v>67.050000000000011</c:v>
                </c:pt>
                <c:pt idx="476">
                  <c:v>67.050000000000011</c:v>
                </c:pt>
                <c:pt idx="477">
                  <c:v>67.050000000000011</c:v>
                </c:pt>
                <c:pt idx="478">
                  <c:v>67.050000000000011</c:v>
                </c:pt>
                <c:pt idx="479">
                  <c:v>67.050000000000011</c:v>
                </c:pt>
                <c:pt idx="480">
                  <c:v>67.050000000000011</c:v>
                </c:pt>
                <c:pt idx="481">
                  <c:v>67.050000000000011</c:v>
                </c:pt>
                <c:pt idx="482">
                  <c:v>67.050000000000011</c:v>
                </c:pt>
                <c:pt idx="483">
                  <c:v>67.050000000000011</c:v>
                </c:pt>
                <c:pt idx="484">
                  <c:v>67.050000000000011</c:v>
                </c:pt>
                <c:pt idx="485">
                  <c:v>67.050000000000011</c:v>
                </c:pt>
                <c:pt idx="486">
                  <c:v>67.050000000000011</c:v>
                </c:pt>
                <c:pt idx="487">
                  <c:v>67.050000000000011</c:v>
                </c:pt>
                <c:pt idx="488">
                  <c:v>67.050000000000011</c:v>
                </c:pt>
                <c:pt idx="489">
                  <c:v>67.050000000000011</c:v>
                </c:pt>
                <c:pt idx="490">
                  <c:v>67.050000000000011</c:v>
                </c:pt>
                <c:pt idx="491">
                  <c:v>67.050000000000011</c:v>
                </c:pt>
                <c:pt idx="492">
                  <c:v>67.050000000000011</c:v>
                </c:pt>
                <c:pt idx="493">
                  <c:v>67.050000000000011</c:v>
                </c:pt>
                <c:pt idx="494">
                  <c:v>67.050000000000011</c:v>
                </c:pt>
                <c:pt idx="495">
                  <c:v>67.050000000000011</c:v>
                </c:pt>
                <c:pt idx="496">
                  <c:v>67.050000000000011</c:v>
                </c:pt>
                <c:pt idx="497">
                  <c:v>67.050000000000011</c:v>
                </c:pt>
                <c:pt idx="498">
                  <c:v>67.050000000000011</c:v>
                </c:pt>
                <c:pt idx="499">
                  <c:v>67.050000000000011</c:v>
                </c:pt>
                <c:pt idx="500">
                  <c:v>67.050000000000011</c:v>
                </c:pt>
                <c:pt idx="501">
                  <c:v>67.050000000000011</c:v>
                </c:pt>
                <c:pt idx="502">
                  <c:v>67.050000000000011</c:v>
                </c:pt>
                <c:pt idx="503">
                  <c:v>67.050000000000011</c:v>
                </c:pt>
                <c:pt idx="504">
                  <c:v>67.050000000000011</c:v>
                </c:pt>
                <c:pt idx="505">
                  <c:v>67.050000000000011</c:v>
                </c:pt>
                <c:pt idx="506">
                  <c:v>67.050000000000011</c:v>
                </c:pt>
                <c:pt idx="507">
                  <c:v>67.050000000000011</c:v>
                </c:pt>
                <c:pt idx="508">
                  <c:v>67.050000000000011</c:v>
                </c:pt>
                <c:pt idx="509">
                  <c:v>67.050000000000011</c:v>
                </c:pt>
                <c:pt idx="510">
                  <c:v>67.050000000000011</c:v>
                </c:pt>
                <c:pt idx="511">
                  <c:v>67.050000000000011</c:v>
                </c:pt>
                <c:pt idx="512">
                  <c:v>67.050000000000011</c:v>
                </c:pt>
                <c:pt idx="513">
                  <c:v>67.050000000000011</c:v>
                </c:pt>
                <c:pt idx="514">
                  <c:v>67.050000000000011</c:v>
                </c:pt>
                <c:pt idx="515">
                  <c:v>67.050000000000011</c:v>
                </c:pt>
                <c:pt idx="516">
                  <c:v>67.050000000000011</c:v>
                </c:pt>
                <c:pt idx="517">
                  <c:v>67.050000000000011</c:v>
                </c:pt>
                <c:pt idx="518">
                  <c:v>67.050000000000011</c:v>
                </c:pt>
                <c:pt idx="519">
                  <c:v>67.050000000000011</c:v>
                </c:pt>
                <c:pt idx="520">
                  <c:v>67.050000000000011</c:v>
                </c:pt>
                <c:pt idx="521">
                  <c:v>67.050000000000011</c:v>
                </c:pt>
                <c:pt idx="522">
                  <c:v>67.050000000000011</c:v>
                </c:pt>
                <c:pt idx="523">
                  <c:v>67.050000000000011</c:v>
                </c:pt>
                <c:pt idx="524">
                  <c:v>67.050000000000011</c:v>
                </c:pt>
                <c:pt idx="525">
                  <c:v>67.050000000000011</c:v>
                </c:pt>
                <c:pt idx="526">
                  <c:v>67.050000000000011</c:v>
                </c:pt>
                <c:pt idx="527">
                  <c:v>67.050000000000011</c:v>
                </c:pt>
                <c:pt idx="528">
                  <c:v>67.050000000000011</c:v>
                </c:pt>
                <c:pt idx="529">
                  <c:v>67.050000000000011</c:v>
                </c:pt>
                <c:pt idx="530">
                  <c:v>67.050000000000011</c:v>
                </c:pt>
                <c:pt idx="531">
                  <c:v>67.050000000000011</c:v>
                </c:pt>
                <c:pt idx="532">
                  <c:v>67.050000000000011</c:v>
                </c:pt>
                <c:pt idx="533">
                  <c:v>67.050000000000011</c:v>
                </c:pt>
                <c:pt idx="534">
                  <c:v>67.050000000000011</c:v>
                </c:pt>
                <c:pt idx="535">
                  <c:v>67.050000000000011</c:v>
                </c:pt>
                <c:pt idx="536">
                  <c:v>67.050000000000011</c:v>
                </c:pt>
                <c:pt idx="537">
                  <c:v>67.050000000000011</c:v>
                </c:pt>
                <c:pt idx="538">
                  <c:v>67.050000000000011</c:v>
                </c:pt>
                <c:pt idx="539">
                  <c:v>67.050000000000011</c:v>
                </c:pt>
                <c:pt idx="540">
                  <c:v>67.050000000000011</c:v>
                </c:pt>
                <c:pt idx="541">
                  <c:v>67.050000000000011</c:v>
                </c:pt>
                <c:pt idx="542">
                  <c:v>67.050000000000011</c:v>
                </c:pt>
                <c:pt idx="543">
                  <c:v>67.050000000000011</c:v>
                </c:pt>
                <c:pt idx="544">
                  <c:v>67.050000000000011</c:v>
                </c:pt>
                <c:pt idx="545">
                  <c:v>67.050000000000011</c:v>
                </c:pt>
                <c:pt idx="546">
                  <c:v>67.050000000000011</c:v>
                </c:pt>
                <c:pt idx="547">
                  <c:v>67.050000000000011</c:v>
                </c:pt>
                <c:pt idx="548">
                  <c:v>67.050000000000011</c:v>
                </c:pt>
                <c:pt idx="549">
                  <c:v>67.050000000000011</c:v>
                </c:pt>
                <c:pt idx="550">
                  <c:v>67.050000000000011</c:v>
                </c:pt>
                <c:pt idx="551">
                  <c:v>67.050000000000011</c:v>
                </c:pt>
                <c:pt idx="552">
                  <c:v>67.050000000000011</c:v>
                </c:pt>
                <c:pt idx="553">
                  <c:v>67.050000000000011</c:v>
                </c:pt>
                <c:pt idx="554">
                  <c:v>67.050000000000011</c:v>
                </c:pt>
                <c:pt idx="555">
                  <c:v>67.050000000000011</c:v>
                </c:pt>
                <c:pt idx="556">
                  <c:v>67.050000000000011</c:v>
                </c:pt>
                <c:pt idx="557">
                  <c:v>67.050000000000011</c:v>
                </c:pt>
                <c:pt idx="558">
                  <c:v>67.050000000000011</c:v>
                </c:pt>
                <c:pt idx="559">
                  <c:v>67.050000000000011</c:v>
                </c:pt>
                <c:pt idx="560">
                  <c:v>67.050000000000011</c:v>
                </c:pt>
                <c:pt idx="561">
                  <c:v>67.050000000000011</c:v>
                </c:pt>
                <c:pt idx="562">
                  <c:v>67.050000000000011</c:v>
                </c:pt>
                <c:pt idx="563">
                  <c:v>67.050000000000011</c:v>
                </c:pt>
                <c:pt idx="564">
                  <c:v>67.050000000000011</c:v>
                </c:pt>
                <c:pt idx="565">
                  <c:v>67.050000000000011</c:v>
                </c:pt>
                <c:pt idx="566">
                  <c:v>67.050000000000011</c:v>
                </c:pt>
                <c:pt idx="567">
                  <c:v>67.050000000000011</c:v>
                </c:pt>
                <c:pt idx="568">
                  <c:v>67.050000000000011</c:v>
                </c:pt>
                <c:pt idx="569">
                  <c:v>67.050000000000011</c:v>
                </c:pt>
                <c:pt idx="570">
                  <c:v>67.050000000000011</c:v>
                </c:pt>
                <c:pt idx="571">
                  <c:v>67.050000000000011</c:v>
                </c:pt>
                <c:pt idx="572">
                  <c:v>67.050000000000011</c:v>
                </c:pt>
                <c:pt idx="573">
                  <c:v>67.050000000000011</c:v>
                </c:pt>
                <c:pt idx="574">
                  <c:v>67.050000000000011</c:v>
                </c:pt>
                <c:pt idx="575">
                  <c:v>67.050000000000011</c:v>
                </c:pt>
                <c:pt idx="576">
                  <c:v>67.050000000000011</c:v>
                </c:pt>
                <c:pt idx="577">
                  <c:v>67.050000000000011</c:v>
                </c:pt>
                <c:pt idx="578">
                  <c:v>67.050000000000011</c:v>
                </c:pt>
                <c:pt idx="579">
                  <c:v>67.050000000000011</c:v>
                </c:pt>
                <c:pt idx="580">
                  <c:v>67.050000000000011</c:v>
                </c:pt>
                <c:pt idx="581">
                  <c:v>67.050000000000011</c:v>
                </c:pt>
                <c:pt idx="582">
                  <c:v>67.050000000000011</c:v>
                </c:pt>
                <c:pt idx="583">
                  <c:v>67.050000000000011</c:v>
                </c:pt>
                <c:pt idx="584">
                  <c:v>67.050000000000011</c:v>
                </c:pt>
                <c:pt idx="585">
                  <c:v>67.050000000000011</c:v>
                </c:pt>
                <c:pt idx="586">
                  <c:v>67.050000000000011</c:v>
                </c:pt>
                <c:pt idx="587">
                  <c:v>67.050000000000011</c:v>
                </c:pt>
                <c:pt idx="588">
                  <c:v>67.050000000000011</c:v>
                </c:pt>
                <c:pt idx="589">
                  <c:v>67.050000000000011</c:v>
                </c:pt>
                <c:pt idx="590">
                  <c:v>67.050000000000011</c:v>
                </c:pt>
                <c:pt idx="591">
                  <c:v>67.050000000000011</c:v>
                </c:pt>
                <c:pt idx="592">
                  <c:v>67.050000000000011</c:v>
                </c:pt>
                <c:pt idx="593">
                  <c:v>67.050000000000011</c:v>
                </c:pt>
                <c:pt idx="594">
                  <c:v>67.050000000000011</c:v>
                </c:pt>
                <c:pt idx="595">
                  <c:v>67.050000000000011</c:v>
                </c:pt>
                <c:pt idx="596">
                  <c:v>67.050000000000011</c:v>
                </c:pt>
                <c:pt idx="597">
                  <c:v>67.050000000000011</c:v>
                </c:pt>
                <c:pt idx="598">
                  <c:v>67.050000000000011</c:v>
                </c:pt>
                <c:pt idx="599">
                  <c:v>67.050000000000011</c:v>
                </c:pt>
                <c:pt idx="600">
                  <c:v>67.050000000000011</c:v>
                </c:pt>
                <c:pt idx="601">
                  <c:v>67.050000000000011</c:v>
                </c:pt>
                <c:pt idx="602">
                  <c:v>67.050000000000011</c:v>
                </c:pt>
                <c:pt idx="603">
                  <c:v>67.050000000000011</c:v>
                </c:pt>
                <c:pt idx="604">
                  <c:v>67.050000000000011</c:v>
                </c:pt>
                <c:pt idx="605">
                  <c:v>67.050000000000011</c:v>
                </c:pt>
                <c:pt idx="606">
                  <c:v>67.050000000000011</c:v>
                </c:pt>
                <c:pt idx="607">
                  <c:v>67.050000000000011</c:v>
                </c:pt>
                <c:pt idx="608">
                  <c:v>67.050000000000011</c:v>
                </c:pt>
                <c:pt idx="609">
                  <c:v>67.050000000000011</c:v>
                </c:pt>
                <c:pt idx="610">
                  <c:v>67.050000000000011</c:v>
                </c:pt>
                <c:pt idx="611">
                  <c:v>67.050000000000011</c:v>
                </c:pt>
                <c:pt idx="612">
                  <c:v>67.050000000000011</c:v>
                </c:pt>
                <c:pt idx="613">
                  <c:v>67.050000000000011</c:v>
                </c:pt>
                <c:pt idx="614">
                  <c:v>67.050000000000011</c:v>
                </c:pt>
                <c:pt idx="615">
                  <c:v>67.050000000000011</c:v>
                </c:pt>
                <c:pt idx="616">
                  <c:v>67.050000000000011</c:v>
                </c:pt>
                <c:pt idx="617">
                  <c:v>67.050000000000011</c:v>
                </c:pt>
                <c:pt idx="618">
                  <c:v>67.050000000000011</c:v>
                </c:pt>
                <c:pt idx="619">
                  <c:v>67.050000000000011</c:v>
                </c:pt>
                <c:pt idx="620">
                  <c:v>67.050000000000011</c:v>
                </c:pt>
                <c:pt idx="621">
                  <c:v>67.050000000000011</c:v>
                </c:pt>
                <c:pt idx="622">
                  <c:v>67.050000000000011</c:v>
                </c:pt>
                <c:pt idx="623">
                  <c:v>67.050000000000011</c:v>
                </c:pt>
                <c:pt idx="624">
                  <c:v>67.050000000000011</c:v>
                </c:pt>
                <c:pt idx="625">
                  <c:v>67.050000000000011</c:v>
                </c:pt>
                <c:pt idx="626">
                  <c:v>67.050000000000011</c:v>
                </c:pt>
                <c:pt idx="627">
                  <c:v>67.050000000000011</c:v>
                </c:pt>
                <c:pt idx="628">
                  <c:v>67.050000000000011</c:v>
                </c:pt>
                <c:pt idx="629">
                  <c:v>67.050000000000011</c:v>
                </c:pt>
                <c:pt idx="630">
                  <c:v>67.050000000000011</c:v>
                </c:pt>
                <c:pt idx="631">
                  <c:v>67.050000000000011</c:v>
                </c:pt>
                <c:pt idx="632">
                  <c:v>67.050000000000011</c:v>
                </c:pt>
                <c:pt idx="633">
                  <c:v>67.050000000000011</c:v>
                </c:pt>
                <c:pt idx="634">
                  <c:v>67.050000000000011</c:v>
                </c:pt>
                <c:pt idx="635">
                  <c:v>67.050000000000011</c:v>
                </c:pt>
                <c:pt idx="636">
                  <c:v>67.050000000000011</c:v>
                </c:pt>
                <c:pt idx="637">
                  <c:v>67.050000000000011</c:v>
                </c:pt>
                <c:pt idx="638">
                  <c:v>67.050000000000011</c:v>
                </c:pt>
                <c:pt idx="639">
                  <c:v>67.050000000000011</c:v>
                </c:pt>
                <c:pt idx="640">
                  <c:v>67.050000000000011</c:v>
                </c:pt>
                <c:pt idx="641">
                  <c:v>67.050000000000011</c:v>
                </c:pt>
                <c:pt idx="642">
                  <c:v>67.050000000000011</c:v>
                </c:pt>
                <c:pt idx="643">
                  <c:v>67.050000000000011</c:v>
                </c:pt>
                <c:pt idx="644">
                  <c:v>67.050000000000011</c:v>
                </c:pt>
                <c:pt idx="645">
                  <c:v>67.050000000000011</c:v>
                </c:pt>
                <c:pt idx="646">
                  <c:v>67.050000000000011</c:v>
                </c:pt>
                <c:pt idx="647">
                  <c:v>67.050000000000011</c:v>
                </c:pt>
                <c:pt idx="648">
                  <c:v>67.050000000000011</c:v>
                </c:pt>
                <c:pt idx="649">
                  <c:v>67.050000000000011</c:v>
                </c:pt>
                <c:pt idx="650">
                  <c:v>67.050000000000011</c:v>
                </c:pt>
                <c:pt idx="651">
                  <c:v>67.050000000000011</c:v>
                </c:pt>
                <c:pt idx="652">
                  <c:v>67.050000000000011</c:v>
                </c:pt>
                <c:pt idx="653">
                  <c:v>67.050000000000011</c:v>
                </c:pt>
                <c:pt idx="654">
                  <c:v>67.050000000000011</c:v>
                </c:pt>
                <c:pt idx="655">
                  <c:v>67.050000000000011</c:v>
                </c:pt>
                <c:pt idx="656">
                  <c:v>67.050000000000011</c:v>
                </c:pt>
                <c:pt idx="657">
                  <c:v>67.050000000000011</c:v>
                </c:pt>
                <c:pt idx="658">
                  <c:v>67.050000000000011</c:v>
                </c:pt>
                <c:pt idx="659">
                  <c:v>67.050000000000011</c:v>
                </c:pt>
                <c:pt idx="660">
                  <c:v>67.050000000000011</c:v>
                </c:pt>
                <c:pt idx="661">
                  <c:v>67.050000000000011</c:v>
                </c:pt>
                <c:pt idx="662">
                  <c:v>67.050000000000011</c:v>
                </c:pt>
                <c:pt idx="663">
                  <c:v>67.050000000000011</c:v>
                </c:pt>
                <c:pt idx="664">
                  <c:v>67.050000000000011</c:v>
                </c:pt>
                <c:pt idx="665">
                  <c:v>67.050000000000011</c:v>
                </c:pt>
                <c:pt idx="666">
                  <c:v>67.050000000000011</c:v>
                </c:pt>
                <c:pt idx="667">
                  <c:v>67.050000000000011</c:v>
                </c:pt>
                <c:pt idx="668">
                  <c:v>67.050000000000011</c:v>
                </c:pt>
                <c:pt idx="669">
                  <c:v>67.050000000000011</c:v>
                </c:pt>
                <c:pt idx="670">
                  <c:v>67.050000000000011</c:v>
                </c:pt>
                <c:pt idx="671">
                  <c:v>67.050000000000011</c:v>
                </c:pt>
                <c:pt idx="672">
                  <c:v>67.050000000000011</c:v>
                </c:pt>
                <c:pt idx="673">
                  <c:v>67.050000000000011</c:v>
                </c:pt>
                <c:pt idx="674">
                  <c:v>67.050000000000011</c:v>
                </c:pt>
                <c:pt idx="675">
                  <c:v>67.050000000000011</c:v>
                </c:pt>
                <c:pt idx="676">
                  <c:v>67.050000000000011</c:v>
                </c:pt>
                <c:pt idx="677">
                  <c:v>67.050000000000011</c:v>
                </c:pt>
                <c:pt idx="678">
                  <c:v>67.050000000000011</c:v>
                </c:pt>
                <c:pt idx="679">
                  <c:v>67.050000000000011</c:v>
                </c:pt>
                <c:pt idx="680">
                  <c:v>67.050000000000011</c:v>
                </c:pt>
                <c:pt idx="681">
                  <c:v>67.050000000000011</c:v>
                </c:pt>
                <c:pt idx="682">
                  <c:v>67.050000000000011</c:v>
                </c:pt>
                <c:pt idx="683">
                  <c:v>67.050000000000011</c:v>
                </c:pt>
                <c:pt idx="684">
                  <c:v>67.050000000000011</c:v>
                </c:pt>
                <c:pt idx="685">
                  <c:v>67.050000000000011</c:v>
                </c:pt>
                <c:pt idx="686">
                  <c:v>67.050000000000011</c:v>
                </c:pt>
                <c:pt idx="687">
                  <c:v>67.050000000000011</c:v>
                </c:pt>
                <c:pt idx="688">
                  <c:v>67.050000000000011</c:v>
                </c:pt>
                <c:pt idx="689">
                  <c:v>67.050000000000011</c:v>
                </c:pt>
                <c:pt idx="690">
                  <c:v>67.050000000000011</c:v>
                </c:pt>
                <c:pt idx="691">
                  <c:v>67.050000000000011</c:v>
                </c:pt>
                <c:pt idx="692">
                  <c:v>67.050000000000011</c:v>
                </c:pt>
                <c:pt idx="693">
                  <c:v>67.050000000000011</c:v>
                </c:pt>
                <c:pt idx="694">
                  <c:v>67.050000000000011</c:v>
                </c:pt>
                <c:pt idx="695">
                  <c:v>67.050000000000011</c:v>
                </c:pt>
                <c:pt idx="696">
                  <c:v>67.050000000000011</c:v>
                </c:pt>
                <c:pt idx="697">
                  <c:v>67.050000000000011</c:v>
                </c:pt>
                <c:pt idx="698">
                  <c:v>67.050000000000011</c:v>
                </c:pt>
                <c:pt idx="699">
                  <c:v>67.050000000000011</c:v>
                </c:pt>
                <c:pt idx="700">
                  <c:v>67.050000000000011</c:v>
                </c:pt>
                <c:pt idx="701">
                  <c:v>67.050000000000011</c:v>
                </c:pt>
                <c:pt idx="702">
                  <c:v>67.050000000000011</c:v>
                </c:pt>
                <c:pt idx="703">
                  <c:v>67.050000000000011</c:v>
                </c:pt>
                <c:pt idx="704">
                  <c:v>67.050000000000011</c:v>
                </c:pt>
                <c:pt idx="705">
                  <c:v>67.050000000000011</c:v>
                </c:pt>
                <c:pt idx="706">
                  <c:v>67.050000000000011</c:v>
                </c:pt>
                <c:pt idx="707">
                  <c:v>67.050000000000011</c:v>
                </c:pt>
                <c:pt idx="708">
                  <c:v>67.050000000000011</c:v>
                </c:pt>
                <c:pt idx="709">
                  <c:v>67.050000000000011</c:v>
                </c:pt>
                <c:pt idx="710">
                  <c:v>67.050000000000011</c:v>
                </c:pt>
                <c:pt idx="711">
                  <c:v>67.050000000000011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8B-4FEA-9220-871F3AF6F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7688928"/>
        <c:axId val="1777689888"/>
      </c:scatterChart>
      <c:valAx>
        <c:axId val="1777688928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689888"/>
        <c:crosses val="autoZero"/>
        <c:crossBetween val="midCat"/>
      </c:valAx>
      <c:valAx>
        <c:axId val="177768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688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Velocity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Function!$A$20:$A$731</c:f>
              <c:numCache>
                <c:formatCode>General</c:formatCode>
                <c:ptCount val="712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0.12000000000000001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0.21999999999999997</c:v>
                </c:pt>
                <c:pt idx="12">
                  <c:v>0.23999999999999996</c:v>
                </c:pt>
                <c:pt idx="13">
                  <c:v>0.25999999999999995</c:v>
                </c:pt>
                <c:pt idx="14">
                  <c:v>0.27999999999999997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0.36000000000000004</c:v>
                </c:pt>
                <c:pt idx="19">
                  <c:v>0.38000000000000006</c:v>
                </c:pt>
                <c:pt idx="20">
                  <c:v>0.40000000000000008</c:v>
                </c:pt>
                <c:pt idx="21">
                  <c:v>0.4200000000000001</c:v>
                </c:pt>
                <c:pt idx="22">
                  <c:v>0.44000000000000011</c:v>
                </c:pt>
                <c:pt idx="23">
                  <c:v>0.46000000000000013</c:v>
                </c:pt>
                <c:pt idx="24">
                  <c:v>0.48000000000000015</c:v>
                </c:pt>
                <c:pt idx="25">
                  <c:v>0.50000000000000011</c:v>
                </c:pt>
                <c:pt idx="26">
                  <c:v>0.52000000000000013</c:v>
                </c:pt>
                <c:pt idx="27">
                  <c:v>0.54000000000000015</c:v>
                </c:pt>
                <c:pt idx="28">
                  <c:v>0.56000000000000016</c:v>
                </c:pt>
                <c:pt idx="29">
                  <c:v>0.58000000000000018</c:v>
                </c:pt>
                <c:pt idx="30">
                  <c:v>0.6000000000000002</c:v>
                </c:pt>
                <c:pt idx="31">
                  <c:v>0.62000000000000022</c:v>
                </c:pt>
                <c:pt idx="32">
                  <c:v>0.64000000000000024</c:v>
                </c:pt>
                <c:pt idx="33">
                  <c:v>0.66000000000000025</c:v>
                </c:pt>
                <c:pt idx="34">
                  <c:v>0.68000000000000027</c:v>
                </c:pt>
                <c:pt idx="35">
                  <c:v>0.70000000000000029</c:v>
                </c:pt>
                <c:pt idx="36">
                  <c:v>0.72000000000000031</c:v>
                </c:pt>
                <c:pt idx="37">
                  <c:v>0.74000000000000032</c:v>
                </c:pt>
                <c:pt idx="38">
                  <c:v>0.76000000000000034</c:v>
                </c:pt>
                <c:pt idx="39">
                  <c:v>0.78000000000000036</c:v>
                </c:pt>
                <c:pt idx="40">
                  <c:v>0.80000000000000038</c:v>
                </c:pt>
                <c:pt idx="41">
                  <c:v>0.8200000000000004</c:v>
                </c:pt>
                <c:pt idx="42">
                  <c:v>0.84000000000000041</c:v>
                </c:pt>
                <c:pt idx="43">
                  <c:v>0.86000000000000043</c:v>
                </c:pt>
                <c:pt idx="44">
                  <c:v>0.88000000000000045</c:v>
                </c:pt>
                <c:pt idx="45">
                  <c:v>0.90000000000000047</c:v>
                </c:pt>
                <c:pt idx="46">
                  <c:v>0.92000000000000048</c:v>
                </c:pt>
                <c:pt idx="47">
                  <c:v>0.9400000000000005</c:v>
                </c:pt>
                <c:pt idx="48">
                  <c:v>0.96000000000000052</c:v>
                </c:pt>
                <c:pt idx="49">
                  <c:v>0.98000000000000054</c:v>
                </c:pt>
                <c:pt idx="50">
                  <c:v>1.0000000000000004</c:v>
                </c:pt>
                <c:pt idx="51">
                  <c:v>1.0200000000000005</c:v>
                </c:pt>
                <c:pt idx="52">
                  <c:v>1.0400000000000005</c:v>
                </c:pt>
                <c:pt idx="53">
                  <c:v>1.0600000000000005</c:v>
                </c:pt>
                <c:pt idx="54">
                  <c:v>1.0800000000000005</c:v>
                </c:pt>
                <c:pt idx="55">
                  <c:v>1.1000000000000005</c:v>
                </c:pt>
                <c:pt idx="56">
                  <c:v>1.1200000000000006</c:v>
                </c:pt>
                <c:pt idx="57">
                  <c:v>1.1400000000000006</c:v>
                </c:pt>
                <c:pt idx="58">
                  <c:v>1.1600000000000006</c:v>
                </c:pt>
                <c:pt idx="59">
                  <c:v>1.1800000000000006</c:v>
                </c:pt>
                <c:pt idx="60">
                  <c:v>1.2000000000000006</c:v>
                </c:pt>
                <c:pt idx="61">
                  <c:v>1.2200000000000006</c:v>
                </c:pt>
                <c:pt idx="62">
                  <c:v>1.2400000000000007</c:v>
                </c:pt>
                <c:pt idx="63">
                  <c:v>1.2600000000000007</c:v>
                </c:pt>
                <c:pt idx="64">
                  <c:v>1.2800000000000007</c:v>
                </c:pt>
                <c:pt idx="65">
                  <c:v>1.3000000000000007</c:v>
                </c:pt>
                <c:pt idx="66">
                  <c:v>1.3200000000000007</c:v>
                </c:pt>
                <c:pt idx="67">
                  <c:v>1.3400000000000007</c:v>
                </c:pt>
                <c:pt idx="68">
                  <c:v>1.3600000000000008</c:v>
                </c:pt>
                <c:pt idx="69">
                  <c:v>1.3800000000000008</c:v>
                </c:pt>
                <c:pt idx="70">
                  <c:v>1.4000000000000008</c:v>
                </c:pt>
                <c:pt idx="71">
                  <c:v>1.4200000000000008</c:v>
                </c:pt>
                <c:pt idx="72">
                  <c:v>1.4400000000000008</c:v>
                </c:pt>
                <c:pt idx="73">
                  <c:v>1.4600000000000009</c:v>
                </c:pt>
                <c:pt idx="74">
                  <c:v>1.4800000000000009</c:v>
                </c:pt>
                <c:pt idx="75">
                  <c:v>1.5000000000000009</c:v>
                </c:pt>
                <c:pt idx="76">
                  <c:v>1.5200000000000009</c:v>
                </c:pt>
                <c:pt idx="77">
                  <c:v>1.5400000000000009</c:v>
                </c:pt>
                <c:pt idx="78">
                  <c:v>1.5600000000000009</c:v>
                </c:pt>
                <c:pt idx="79">
                  <c:v>1.580000000000001</c:v>
                </c:pt>
                <c:pt idx="80">
                  <c:v>1.600000000000001</c:v>
                </c:pt>
                <c:pt idx="81">
                  <c:v>1.620000000000001</c:v>
                </c:pt>
                <c:pt idx="82">
                  <c:v>1.640000000000001</c:v>
                </c:pt>
                <c:pt idx="83">
                  <c:v>1.660000000000001</c:v>
                </c:pt>
                <c:pt idx="84">
                  <c:v>1.680000000000001</c:v>
                </c:pt>
                <c:pt idx="85">
                  <c:v>1.7000000000000011</c:v>
                </c:pt>
                <c:pt idx="86">
                  <c:v>1.7200000000000011</c:v>
                </c:pt>
                <c:pt idx="87">
                  <c:v>1.7400000000000011</c:v>
                </c:pt>
                <c:pt idx="88">
                  <c:v>1.7600000000000011</c:v>
                </c:pt>
                <c:pt idx="89">
                  <c:v>1.7800000000000011</c:v>
                </c:pt>
                <c:pt idx="90">
                  <c:v>1.8000000000000012</c:v>
                </c:pt>
                <c:pt idx="91">
                  <c:v>1.8200000000000012</c:v>
                </c:pt>
                <c:pt idx="92">
                  <c:v>1.8400000000000012</c:v>
                </c:pt>
                <c:pt idx="93">
                  <c:v>1.8600000000000012</c:v>
                </c:pt>
                <c:pt idx="94">
                  <c:v>1.8800000000000012</c:v>
                </c:pt>
                <c:pt idx="95">
                  <c:v>1.9000000000000012</c:v>
                </c:pt>
                <c:pt idx="96">
                  <c:v>1.9200000000000013</c:v>
                </c:pt>
                <c:pt idx="97">
                  <c:v>1.9400000000000013</c:v>
                </c:pt>
                <c:pt idx="98">
                  <c:v>1.9600000000000013</c:v>
                </c:pt>
                <c:pt idx="99">
                  <c:v>1.9800000000000013</c:v>
                </c:pt>
                <c:pt idx="100">
                  <c:v>2.0000000000000013</c:v>
                </c:pt>
                <c:pt idx="101">
                  <c:v>2.0200000000000014</c:v>
                </c:pt>
                <c:pt idx="102">
                  <c:v>2.0400000000000014</c:v>
                </c:pt>
                <c:pt idx="103">
                  <c:v>2.0600000000000014</c:v>
                </c:pt>
                <c:pt idx="104">
                  <c:v>2.0800000000000014</c:v>
                </c:pt>
                <c:pt idx="105">
                  <c:v>2.1000000000000014</c:v>
                </c:pt>
                <c:pt idx="106">
                  <c:v>2.1200000000000014</c:v>
                </c:pt>
                <c:pt idx="107">
                  <c:v>2.1400000000000015</c:v>
                </c:pt>
                <c:pt idx="108">
                  <c:v>2.1600000000000015</c:v>
                </c:pt>
                <c:pt idx="109">
                  <c:v>2.1800000000000015</c:v>
                </c:pt>
                <c:pt idx="110">
                  <c:v>2.2000000000000015</c:v>
                </c:pt>
                <c:pt idx="111">
                  <c:v>2.2200000000000015</c:v>
                </c:pt>
                <c:pt idx="112">
                  <c:v>2.2400000000000015</c:v>
                </c:pt>
                <c:pt idx="113">
                  <c:v>2.2600000000000016</c:v>
                </c:pt>
                <c:pt idx="114">
                  <c:v>2.2800000000000016</c:v>
                </c:pt>
                <c:pt idx="115">
                  <c:v>2.3000000000000016</c:v>
                </c:pt>
                <c:pt idx="116">
                  <c:v>2.3200000000000016</c:v>
                </c:pt>
                <c:pt idx="117">
                  <c:v>2.3400000000000016</c:v>
                </c:pt>
                <c:pt idx="118">
                  <c:v>2.3600000000000017</c:v>
                </c:pt>
                <c:pt idx="119">
                  <c:v>2.3800000000000017</c:v>
                </c:pt>
                <c:pt idx="120">
                  <c:v>2.4000000000000017</c:v>
                </c:pt>
                <c:pt idx="121">
                  <c:v>2.4200000000000017</c:v>
                </c:pt>
                <c:pt idx="122">
                  <c:v>2.4400000000000017</c:v>
                </c:pt>
                <c:pt idx="123">
                  <c:v>2.4600000000000017</c:v>
                </c:pt>
                <c:pt idx="124">
                  <c:v>2.4800000000000018</c:v>
                </c:pt>
                <c:pt idx="125">
                  <c:v>2.5000000000000018</c:v>
                </c:pt>
                <c:pt idx="126">
                  <c:v>2.5200000000000018</c:v>
                </c:pt>
                <c:pt idx="127">
                  <c:v>2.5400000000000018</c:v>
                </c:pt>
                <c:pt idx="128">
                  <c:v>2.5600000000000018</c:v>
                </c:pt>
                <c:pt idx="129">
                  <c:v>2.5800000000000018</c:v>
                </c:pt>
                <c:pt idx="130">
                  <c:v>2.6000000000000019</c:v>
                </c:pt>
                <c:pt idx="131">
                  <c:v>2.6200000000000019</c:v>
                </c:pt>
                <c:pt idx="132">
                  <c:v>2.6400000000000019</c:v>
                </c:pt>
                <c:pt idx="133">
                  <c:v>2.6600000000000019</c:v>
                </c:pt>
                <c:pt idx="134">
                  <c:v>2.6800000000000019</c:v>
                </c:pt>
                <c:pt idx="135">
                  <c:v>2.700000000000002</c:v>
                </c:pt>
                <c:pt idx="136">
                  <c:v>2.720000000000002</c:v>
                </c:pt>
                <c:pt idx="137">
                  <c:v>2.740000000000002</c:v>
                </c:pt>
                <c:pt idx="138">
                  <c:v>2.760000000000002</c:v>
                </c:pt>
                <c:pt idx="139">
                  <c:v>2.780000000000002</c:v>
                </c:pt>
                <c:pt idx="140">
                  <c:v>2.800000000000002</c:v>
                </c:pt>
                <c:pt idx="141">
                  <c:v>2.8200000000000021</c:v>
                </c:pt>
                <c:pt idx="142">
                  <c:v>2.8400000000000021</c:v>
                </c:pt>
                <c:pt idx="143">
                  <c:v>2.8600000000000021</c:v>
                </c:pt>
                <c:pt idx="144">
                  <c:v>2.8800000000000021</c:v>
                </c:pt>
                <c:pt idx="145">
                  <c:v>2.9000000000000021</c:v>
                </c:pt>
                <c:pt idx="146">
                  <c:v>2.9200000000000021</c:v>
                </c:pt>
                <c:pt idx="147">
                  <c:v>2.9400000000000022</c:v>
                </c:pt>
                <c:pt idx="148">
                  <c:v>2.9600000000000022</c:v>
                </c:pt>
                <c:pt idx="149">
                  <c:v>2.9800000000000022</c:v>
                </c:pt>
                <c:pt idx="150">
                  <c:v>3.0000000000000022</c:v>
                </c:pt>
                <c:pt idx="151">
                  <c:v>3.0200000000000022</c:v>
                </c:pt>
                <c:pt idx="152">
                  <c:v>3.0400000000000023</c:v>
                </c:pt>
                <c:pt idx="153">
                  <c:v>3.0600000000000023</c:v>
                </c:pt>
                <c:pt idx="154">
                  <c:v>3.0800000000000023</c:v>
                </c:pt>
                <c:pt idx="155">
                  <c:v>3.1000000000000023</c:v>
                </c:pt>
                <c:pt idx="156">
                  <c:v>3.1200000000000023</c:v>
                </c:pt>
                <c:pt idx="157">
                  <c:v>3.1400000000000023</c:v>
                </c:pt>
                <c:pt idx="158">
                  <c:v>3.1600000000000024</c:v>
                </c:pt>
                <c:pt idx="159">
                  <c:v>3.1800000000000024</c:v>
                </c:pt>
                <c:pt idx="160">
                  <c:v>3.2000000000000024</c:v>
                </c:pt>
                <c:pt idx="161">
                  <c:v>3.2200000000000024</c:v>
                </c:pt>
                <c:pt idx="162">
                  <c:v>3.2400000000000024</c:v>
                </c:pt>
                <c:pt idx="163">
                  <c:v>3.2600000000000025</c:v>
                </c:pt>
                <c:pt idx="164">
                  <c:v>3.2800000000000025</c:v>
                </c:pt>
                <c:pt idx="165">
                  <c:v>3.3000000000000025</c:v>
                </c:pt>
                <c:pt idx="166">
                  <c:v>3.3200000000000025</c:v>
                </c:pt>
                <c:pt idx="167">
                  <c:v>3.3400000000000025</c:v>
                </c:pt>
                <c:pt idx="168">
                  <c:v>3.3600000000000025</c:v>
                </c:pt>
                <c:pt idx="169">
                  <c:v>3.3800000000000026</c:v>
                </c:pt>
                <c:pt idx="170">
                  <c:v>3.4000000000000026</c:v>
                </c:pt>
                <c:pt idx="171">
                  <c:v>3.4200000000000026</c:v>
                </c:pt>
                <c:pt idx="172">
                  <c:v>3.4400000000000026</c:v>
                </c:pt>
                <c:pt idx="173">
                  <c:v>3.4600000000000026</c:v>
                </c:pt>
                <c:pt idx="174">
                  <c:v>3.4800000000000026</c:v>
                </c:pt>
                <c:pt idx="175">
                  <c:v>3.5000000000000027</c:v>
                </c:pt>
                <c:pt idx="176">
                  <c:v>3.5200000000000027</c:v>
                </c:pt>
                <c:pt idx="177">
                  <c:v>3.5400000000000027</c:v>
                </c:pt>
                <c:pt idx="178">
                  <c:v>3.5600000000000027</c:v>
                </c:pt>
                <c:pt idx="179">
                  <c:v>3.5800000000000027</c:v>
                </c:pt>
                <c:pt idx="180">
                  <c:v>3.6000000000000028</c:v>
                </c:pt>
                <c:pt idx="181">
                  <c:v>3.6200000000000028</c:v>
                </c:pt>
                <c:pt idx="182">
                  <c:v>3.6400000000000028</c:v>
                </c:pt>
                <c:pt idx="183">
                  <c:v>3.6600000000000028</c:v>
                </c:pt>
                <c:pt idx="184">
                  <c:v>3.6800000000000028</c:v>
                </c:pt>
                <c:pt idx="185">
                  <c:v>3.7000000000000028</c:v>
                </c:pt>
                <c:pt idx="186">
                  <c:v>3.7200000000000029</c:v>
                </c:pt>
                <c:pt idx="187">
                  <c:v>3.7400000000000029</c:v>
                </c:pt>
                <c:pt idx="188">
                  <c:v>3.7600000000000029</c:v>
                </c:pt>
                <c:pt idx="189">
                  <c:v>3.7800000000000029</c:v>
                </c:pt>
                <c:pt idx="190">
                  <c:v>3.8000000000000029</c:v>
                </c:pt>
                <c:pt idx="191">
                  <c:v>3.8200000000000029</c:v>
                </c:pt>
                <c:pt idx="192">
                  <c:v>3.840000000000003</c:v>
                </c:pt>
                <c:pt idx="193">
                  <c:v>3.860000000000003</c:v>
                </c:pt>
                <c:pt idx="194">
                  <c:v>3.880000000000003</c:v>
                </c:pt>
                <c:pt idx="195">
                  <c:v>3.900000000000003</c:v>
                </c:pt>
                <c:pt idx="196">
                  <c:v>3.920000000000003</c:v>
                </c:pt>
                <c:pt idx="197">
                  <c:v>3.9400000000000031</c:v>
                </c:pt>
                <c:pt idx="198">
                  <c:v>3.9600000000000031</c:v>
                </c:pt>
                <c:pt idx="199">
                  <c:v>3.9800000000000031</c:v>
                </c:pt>
                <c:pt idx="200">
                  <c:v>4.0000000000000027</c:v>
                </c:pt>
                <c:pt idx="201">
                  <c:v>4.0200000000000022</c:v>
                </c:pt>
                <c:pt idx="202">
                  <c:v>4.0400000000000018</c:v>
                </c:pt>
                <c:pt idx="203">
                  <c:v>4.0600000000000014</c:v>
                </c:pt>
                <c:pt idx="204">
                  <c:v>4.080000000000001</c:v>
                </c:pt>
                <c:pt idx="205">
                  <c:v>4.1000000000000005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4.1599999999999993</c:v>
                </c:pt>
                <c:pt idx="209">
                  <c:v>4.1799999999999988</c:v>
                </c:pt>
                <c:pt idx="210">
                  <c:v>4.1999999999999984</c:v>
                </c:pt>
                <c:pt idx="211">
                  <c:v>4.219999999999998</c:v>
                </c:pt>
                <c:pt idx="212">
                  <c:v>4.2399999999999975</c:v>
                </c:pt>
                <c:pt idx="213">
                  <c:v>4.2599999999999971</c:v>
                </c:pt>
                <c:pt idx="214">
                  <c:v>4.2799999999999967</c:v>
                </c:pt>
                <c:pt idx="215">
                  <c:v>4.2999999999999963</c:v>
                </c:pt>
                <c:pt idx="216">
                  <c:v>4.3199999999999958</c:v>
                </c:pt>
                <c:pt idx="217">
                  <c:v>4.3399999999999954</c:v>
                </c:pt>
                <c:pt idx="218">
                  <c:v>4.359999999999995</c:v>
                </c:pt>
                <c:pt idx="219">
                  <c:v>4.3799999999999946</c:v>
                </c:pt>
                <c:pt idx="220">
                  <c:v>4.3999999999999941</c:v>
                </c:pt>
                <c:pt idx="221">
                  <c:v>4.4199999999999937</c:v>
                </c:pt>
                <c:pt idx="222">
                  <c:v>4.4399999999999933</c:v>
                </c:pt>
                <c:pt idx="223">
                  <c:v>4.4599999999999929</c:v>
                </c:pt>
                <c:pt idx="224">
                  <c:v>4.4799999999999924</c:v>
                </c:pt>
                <c:pt idx="225">
                  <c:v>4.499999999999992</c:v>
                </c:pt>
                <c:pt idx="226">
                  <c:v>4.5199999999999916</c:v>
                </c:pt>
                <c:pt idx="227">
                  <c:v>4.5399999999999912</c:v>
                </c:pt>
                <c:pt idx="228">
                  <c:v>4.5599999999999907</c:v>
                </c:pt>
                <c:pt idx="229">
                  <c:v>4.5799999999999903</c:v>
                </c:pt>
                <c:pt idx="230">
                  <c:v>4.5999999999999899</c:v>
                </c:pt>
                <c:pt idx="231">
                  <c:v>4.6199999999999894</c:v>
                </c:pt>
                <c:pt idx="232">
                  <c:v>4.639999999999989</c:v>
                </c:pt>
                <c:pt idx="233">
                  <c:v>4.6599999999999886</c:v>
                </c:pt>
                <c:pt idx="234">
                  <c:v>4.6799999999999882</c:v>
                </c:pt>
                <c:pt idx="235">
                  <c:v>4.6999999999999877</c:v>
                </c:pt>
                <c:pt idx="236">
                  <c:v>4.7199999999999873</c:v>
                </c:pt>
                <c:pt idx="237">
                  <c:v>4.7399999999999869</c:v>
                </c:pt>
                <c:pt idx="238">
                  <c:v>4.7599999999999865</c:v>
                </c:pt>
                <c:pt idx="239">
                  <c:v>4.779999999999986</c:v>
                </c:pt>
                <c:pt idx="240">
                  <c:v>4.7999999999999856</c:v>
                </c:pt>
                <c:pt idx="241">
                  <c:v>4.8199999999999852</c:v>
                </c:pt>
                <c:pt idx="242">
                  <c:v>4.8399999999999848</c:v>
                </c:pt>
                <c:pt idx="243">
                  <c:v>4.8599999999999843</c:v>
                </c:pt>
                <c:pt idx="244">
                  <c:v>4.8799999999999839</c:v>
                </c:pt>
                <c:pt idx="245">
                  <c:v>4.8999999999999835</c:v>
                </c:pt>
                <c:pt idx="246">
                  <c:v>4.9199999999999831</c:v>
                </c:pt>
                <c:pt idx="247">
                  <c:v>4.9399999999999826</c:v>
                </c:pt>
                <c:pt idx="248">
                  <c:v>4.9599999999999822</c:v>
                </c:pt>
                <c:pt idx="249">
                  <c:v>4.9799999999999818</c:v>
                </c:pt>
                <c:pt idx="250">
                  <c:v>4.9999999999999813</c:v>
                </c:pt>
                <c:pt idx="251">
                  <c:v>5.0199999999999809</c:v>
                </c:pt>
                <c:pt idx="252">
                  <c:v>5.0399999999999805</c:v>
                </c:pt>
                <c:pt idx="253">
                  <c:v>5.0599999999999801</c:v>
                </c:pt>
                <c:pt idx="254">
                  <c:v>5.0799999999999796</c:v>
                </c:pt>
                <c:pt idx="255">
                  <c:v>5.0999999999999792</c:v>
                </c:pt>
                <c:pt idx="256">
                  <c:v>5.1199999999999788</c:v>
                </c:pt>
                <c:pt idx="257">
                  <c:v>5.1399999999999784</c:v>
                </c:pt>
                <c:pt idx="258">
                  <c:v>5.1599999999999779</c:v>
                </c:pt>
                <c:pt idx="259">
                  <c:v>5.1799999999999775</c:v>
                </c:pt>
                <c:pt idx="260">
                  <c:v>5.1999999999999771</c:v>
                </c:pt>
                <c:pt idx="261">
                  <c:v>5.2199999999999767</c:v>
                </c:pt>
                <c:pt idx="262">
                  <c:v>5.2399999999999762</c:v>
                </c:pt>
                <c:pt idx="263">
                  <c:v>5.2599999999999758</c:v>
                </c:pt>
                <c:pt idx="264">
                  <c:v>5.2799999999999754</c:v>
                </c:pt>
                <c:pt idx="265">
                  <c:v>5.299999999999975</c:v>
                </c:pt>
                <c:pt idx="266">
                  <c:v>5.3199999999999745</c:v>
                </c:pt>
                <c:pt idx="267">
                  <c:v>5.3399999999999741</c:v>
                </c:pt>
                <c:pt idx="268">
                  <c:v>5.3599999999999737</c:v>
                </c:pt>
                <c:pt idx="269">
                  <c:v>5.3799999999999732</c:v>
                </c:pt>
                <c:pt idx="270">
                  <c:v>5.3999999999999728</c:v>
                </c:pt>
                <c:pt idx="271">
                  <c:v>5.4199999999999724</c:v>
                </c:pt>
                <c:pt idx="272">
                  <c:v>5.439999999999972</c:v>
                </c:pt>
                <c:pt idx="273">
                  <c:v>5.4599999999999715</c:v>
                </c:pt>
                <c:pt idx="274">
                  <c:v>5.4799999999999711</c:v>
                </c:pt>
                <c:pt idx="275">
                  <c:v>5.4999999999999707</c:v>
                </c:pt>
                <c:pt idx="276">
                  <c:v>5.5199999999999703</c:v>
                </c:pt>
                <c:pt idx="277">
                  <c:v>5.5399999999999698</c:v>
                </c:pt>
                <c:pt idx="278">
                  <c:v>5.5599999999999694</c:v>
                </c:pt>
                <c:pt idx="279">
                  <c:v>5.579999999999969</c:v>
                </c:pt>
                <c:pt idx="280">
                  <c:v>5.5999999999999686</c:v>
                </c:pt>
                <c:pt idx="281">
                  <c:v>5.6199999999999681</c:v>
                </c:pt>
                <c:pt idx="282">
                  <c:v>5.6399999999999677</c:v>
                </c:pt>
                <c:pt idx="283">
                  <c:v>5.6599999999999673</c:v>
                </c:pt>
                <c:pt idx="284">
                  <c:v>5.6799999999999669</c:v>
                </c:pt>
                <c:pt idx="285">
                  <c:v>5.6999999999999664</c:v>
                </c:pt>
                <c:pt idx="286">
                  <c:v>5.719999999999966</c:v>
                </c:pt>
                <c:pt idx="287">
                  <c:v>5.7399999999999656</c:v>
                </c:pt>
                <c:pt idx="288">
                  <c:v>5.7599999999999651</c:v>
                </c:pt>
                <c:pt idx="289">
                  <c:v>5.7799999999999647</c:v>
                </c:pt>
                <c:pt idx="290">
                  <c:v>5.7999999999999643</c:v>
                </c:pt>
                <c:pt idx="291">
                  <c:v>5.8199999999999639</c:v>
                </c:pt>
                <c:pt idx="292">
                  <c:v>5.8399999999999634</c:v>
                </c:pt>
                <c:pt idx="293">
                  <c:v>5.859999999999963</c:v>
                </c:pt>
                <c:pt idx="294">
                  <c:v>5.8799999999999626</c:v>
                </c:pt>
                <c:pt idx="295">
                  <c:v>5.8999999999999622</c:v>
                </c:pt>
                <c:pt idx="296">
                  <c:v>5.9199999999999617</c:v>
                </c:pt>
                <c:pt idx="297">
                  <c:v>5.9399999999999613</c:v>
                </c:pt>
                <c:pt idx="298">
                  <c:v>5.9599999999999609</c:v>
                </c:pt>
                <c:pt idx="299">
                  <c:v>5.9799999999999605</c:v>
                </c:pt>
                <c:pt idx="300">
                  <c:v>5.99999999999996</c:v>
                </c:pt>
                <c:pt idx="301">
                  <c:v>6.0199999999999596</c:v>
                </c:pt>
                <c:pt idx="302">
                  <c:v>6.0399999999999592</c:v>
                </c:pt>
                <c:pt idx="303">
                  <c:v>6.0599999999999588</c:v>
                </c:pt>
                <c:pt idx="304">
                  <c:v>6.0799999999999583</c:v>
                </c:pt>
                <c:pt idx="305">
                  <c:v>6.0999999999999579</c:v>
                </c:pt>
                <c:pt idx="306">
                  <c:v>6.1199999999999575</c:v>
                </c:pt>
                <c:pt idx="307">
                  <c:v>6.139999999999957</c:v>
                </c:pt>
                <c:pt idx="308">
                  <c:v>6.1599999999999566</c:v>
                </c:pt>
                <c:pt idx="309">
                  <c:v>6.1799999999999562</c:v>
                </c:pt>
                <c:pt idx="310">
                  <c:v>6.1999999999999558</c:v>
                </c:pt>
                <c:pt idx="311">
                  <c:v>6.2199999999999553</c:v>
                </c:pt>
                <c:pt idx="312">
                  <c:v>6.2399999999999549</c:v>
                </c:pt>
                <c:pt idx="313">
                  <c:v>6.2599999999999545</c:v>
                </c:pt>
                <c:pt idx="314">
                  <c:v>6.2799999999999541</c:v>
                </c:pt>
                <c:pt idx="315">
                  <c:v>6.2999999999999536</c:v>
                </c:pt>
                <c:pt idx="316">
                  <c:v>6.3199999999999532</c:v>
                </c:pt>
                <c:pt idx="317">
                  <c:v>6.3399999999999528</c:v>
                </c:pt>
                <c:pt idx="318">
                  <c:v>6.3599999999999524</c:v>
                </c:pt>
                <c:pt idx="319">
                  <c:v>6.3799999999999519</c:v>
                </c:pt>
                <c:pt idx="320">
                  <c:v>6.3999999999999515</c:v>
                </c:pt>
                <c:pt idx="321">
                  <c:v>6.4199999999999511</c:v>
                </c:pt>
                <c:pt idx="322">
                  <c:v>6.4399999999999507</c:v>
                </c:pt>
                <c:pt idx="323">
                  <c:v>6.4599999999999502</c:v>
                </c:pt>
                <c:pt idx="324">
                  <c:v>6.4799999999999498</c:v>
                </c:pt>
                <c:pt idx="325">
                  <c:v>6.4999999999999494</c:v>
                </c:pt>
                <c:pt idx="326">
                  <c:v>6.5199999999999489</c:v>
                </c:pt>
                <c:pt idx="327">
                  <c:v>6.5399999999999485</c:v>
                </c:pt>
                <c:pt idx="328">
                  <c:v>6.5599999999999481</c:v>
                </c:pt>
                <c:pt idx="329">
                  <c:v>6.5799999999999477</c:v>
                </c:pt>
                <c:pt idx="330">
                  <c:v>6.5999999999999472</c:v>
                </c:pt>
                <c:pt idx="331">
                  <c:v>6.6199999999999468</c:v>
                </c:pt>
                <c:pt idx="332">
                  <c:v>6.6399999999999464</c:v>
                </c:pt>
                <c:pt idx="333">
                  <c:v>6.659999999999946</c:v>
                </c:pt>
                <c:pt idx="334">
                  <c:v>6.6799999999999455</c:v>
                </c:pt>
                <c:pt idx="335">
                  <c:v>6.6999999999999451</c:v>
                </c:pt>
                <c:pt idx="336">
                  <c:v>6.7199999999999447</c:v>
                </c:pt>
                <c:pt idx="337">
                  <c:v>6.7399999999999443</c:v>
                </c:pt>
                <c:pt idx="338">
                  <c:v>6.7599999999999438</c:v>
                </c:pt>
                <c:pt idx="339">
                  <c:v>6.7799999999999434</c:v>
                </c:pt>
                <c:pt idx="340">
                  <c:v>6.799999999999943</c:v>
                </c:pt>
                <c:pt idx="341">
                  <c:v>6.8199999999999426</c:v>
                </c:pt>
                <c:pt idx="342">
                  <c:v>6.8399999999999421</c:v>
                </c:pt>
                <c:pt idx="343">
                  <c:v>6.8599999999999417</c:v>
                </c:pt>
                <c:pt idx="344">
                  <c:v>6.8799999999999413</c:v>
                </c:pt>
                <c:pt idx="345">
                  <c:v>6.8999999999999408</c:v>
                </c:pt>
                <c:pt idx="346">
                  <c:v>6.9199999999999404</c:v>
                </c:pt>
                <c:pt idx="347">
                  <c:v>6.93999999999994</c:v>
                </c:pt>
                <c:pt idx="348">
                  <c:v>6.9599999999999396</c:v>
                </c:pt>
                <c:pt idx="349">
                  <c:v>6.9799999999999391</c:v>
                </c:pt>
                <c:pt idx="350">
                  <c:v>6.9999999999999387</c:v>
                </c:pt>
                <c:pt idx="351">
                  <c:v>7.0199999999999383</c:v>
                </c:pt>
                <c:pt idx="352">
                  <c:v>7.0399999999999379</c:v>
                </c:pt>
                <c:pt idx="353">
                  <c:v>7.0599999999999374</c:v>
                </c:pt>
                <c:pt idx="354">
                  <c:v>7.079999999999937</c:v>
                </c:pt>
                <c:pt idx="355">
                  <c:v>7.0999999999999366</c:v>
                </c:pt>
                <c:pt idx="356">
                  <c:v>7.1199999999999362</c:v>
                </c:pt>
                <c:pt idx="357">
                  <c:v>7.1399999999999357</c:v>
                </c:pt>
                <c:pt idx="358">
                  <c:v>7.1599999999999353</c:v>
                </c:pt>
                <c:pt idx="359">
                  <c:v>7.1799999999999349</c:v>
                </c:pt>
                <c:pt idx="360">
                  <c:v>7.1999999999999345</c:v>
                </c:pt>
                <c:pt idx="361">
                  <c:v>7.219999999999934</c:v>
                </c:pt>
                <c:pt idx="362">
                  <c:v>7.2399999999999336</c:v>
                </c:pt>
                <c:pt idx="363">
                  <c:v>7.2599999999999332</c:v>
                </c:pt>
                <c:pt idx="364">
                  <c:v>7.2799999999999327</c:v>
                </c:pt>
                <c:pt idx="365">
                  <c:v>7.2999999999999323</c:v>
                </c:pt>
                <c:pt idx="366">
                  <c:v>7.3199999999999319</c:v>
                </c:pt>
                <c:pt idx="367">
                  <c:v>7.3399999999999315</c:v>
                </c:pt>
                <c:pt idx="368">
                  <c:v>7.359999999999931</c:v>
                </c:pt>
                <c:pt idx="369">
                  <c:v>7.3799999999999306</c:v>
                </c:pt>
                <c:pt idx="370">
                  <c:v>7.3999999999999302</c:v>
                </c:pt>
                <c:pt idx="371">
                  <c:v>7.4199999999999298</c:v>
                </c:pt>
                <c:pt idx="372">
                  <c:v>7.4399999999999293</c:v>
                </c:pt>
                <c:pt idx="373">
                  <c:v>7.4599999999999289</c:v>
                </c:pt>
                <c:pt idx="374">
                  <c:v>7.4799999999999285</c:v>
                </c:pt>
                <c:pt idx="375">
                  <c:v>7.4999999999999281</c:v>
                </c:pt>
                <c:pt idx="376">
                  <c:v>7.5199999999999276</c:v>
                </c:pt>
                <c:pt idx="377">
                  <c:v>7.5399999999999272</c:v>
                </c:pt>
                <c:pt idx="378">
                  <c:v>7.5599999999999268</c:v>
                </c:pt>
                <c:pt idx="379">
                  <c:v>7.5799999999999264</c:v>
                </c:pt>
                <c:pt idx="380">
                  <c:v>7.5999999999999259</c:v>
                </c:pt>
                <c:pt idx="381">
                  <c:v>7.6199999999999255</c:v>
                </c:pt>
                <c:pt idx="382">
                  <c:v>7.6399999999999251</c:v>
                </c:pt>
                <c:pt idx="383">
                  <c:v>7.6599999999999246</c:v>
                </c:pt>
                <c:pt idx="384">
                  <c:v>7.6799999999999242</c:v>
                </c:pt>
                <c:pt idx="385">
                  <c:v>7.6999999999999238</c:v>
                </c:pt>
                <c:pt idx="386">
                  <c:v>7.7199999999999234</c:v>
                </c:pt>
                <c:pt idx="387">
                  <c:v>7.7399999999999229</c:v>
                </c:pt>
                <c:pt idx="388">
                  <c:v>7.7599999999999225</c:v>
                </c:pt>
                <c:pt idx="389">
                  <c:v>7.7799999999999221</c:v>
                </c:pt>
                <c:pt idx="390">
                  <c:v>7.7999999999999217</c:v>
                </c:pt>
                <c:pt idx="391">
                  <c:v>7.8199999999999212</c:v>
                </c:pt>
                <c:pt idx="392">
                  <c:v>7.8399999999999208</c:v>
                </c:pt>
                <c:pt idx="393">
                  <c:v>7.8599999999999204</c:v>
                </c:pt>
                <c:pt idx="394">
                  <c:v>7.87999999999992</c:v>
                </c:pt>
                <c:pt idx="395">
                  <c:v>7.8999999999999195</c:v>
                </c:pt>
                <c:pt idx="396">
                  <c:v>7.9199999999999191</c:v>
                </c:pt>
                <c:pt idx="397">
                  <c:v>7.9399999999999187</c:v>
                </c:pt>
                <c:pt idx="398">
                  <c:v>7.9599999999999183</c:v>
                </c:pt>
                <c:pt idx="399">
                  <c:v>7.9799999999999178</c:v>
                </c:pt>
                <c:pt idx="400">
                  <c:v>7.9999999999999174</c:v>
                </c:pt>
                <c:pt idx="401">
                  <c:v>8.0199999999999179</c:v>
                </c:pt>
                <c:pt idx="402">
                  <c:v>8.0399999999999174</c:v>
                </c:pt>
                <c:pt idx="403">
                  <c:v>8.059999999999917</c:v>
                </c:pt>
                <c:pt idx="404">
                  <c:v>8.0799999999999166</c:v>
                </c:pt>
                <c:pt idx="405">
                  <c:v>8.0999999999999162</c:v>
                </c:pt>
                <c:pt idx="406">
                  <c:v>8.1199999999999157</c:v>
                </c:pt>
                <c:pt idx="407">
                  <c:v>8.1399999999999153</c:v>
                </c:pt>
                <c:pt idx="408">
                  <c:v>8.1599999999999149</c:v>
                </c:pt>
                <c:pt idx="409">
                  <c:v>8.1799999999999145</c:v>
                </c:pt>
                <c:pt idx="410">
                  <c:v>8.199999999999914</c:v>
                </c:pt>
                <c:pt idx="411">
                  <c:v>8.2199999999999136</c:v>
                </c:pt>
                <c:pt idx="412">
                  <c:v>8.2399999999999132</c:v>
                </c:pt>
                <c:pt idx="413">
                  <c:v>8.2599999999999127</c:v>
                </c:pt>
                <c:pt idx="414">
                  <c:v>8.2799999999999123</c:v>
                </c:pt>
                <c:pt idx="415">
                  <c:v>8.2999999999999119</c:v>
                </c:pt>
                <c:pt idx="416">
                  <c:v>8.3199999999999115</c:v>
                </c:pt>
                <c:pt idx="417">
                  <c:v>8.339999999999911</c:v>
                </c:pt>
                <c:pt idx="418">
                  <c:v>8.3599999999999106</c:v>
                </c:pt>
                <c:pt idx="419">
                  <c:v>8.3799999999999102</c:v>
                </c:pt>
                <c:pt idx="420">
                  <c:v>8.3999999999999098</c:v>
                </c:pt>
                <c:pt idx="421">
                  <c:v>8.4199999999999093</c:v>
                </c:pt>
                <c:pt idx="422">
                  <c:v>8.4399999999999089</c:v>
                </c:pt>
                <c:pt idx="423">
                  <c:v>8.4599999999999085</c:v>
                </c:pt>
                <c:pt idx="424">
                  <c:v>8.4799999999999081</c:v>
                </c:pt>
                <c:pt idx="425">
                  <c:v>8.4999999999999076</c:v>
                </c:pt>
                <c:pt idx="426">
                  <c:v>8.5199999999999072</c:v>
                </c:pt>
                <c:pt idx="427">
                  <c:v>8.5399999999999068</c:v>
                </c:pt>
                <c:pt idx="428">
                  <c:v>8.5599999999999064</c:v>
                </c:pt>
                <c:pt idx="429">
                  <c:v>8.5799999999999059</c:v>
                </c:pt>
                <c:pt idx="430">
                  <c:v>8.5999999999999055</c:v>
                </c:pt>
                <c:pt idx="431">
                  <c:v>8.6199999999999051</c:v>
                </c:pt>
                <c:pt idx="432">
                  <c:v>8.6399999999999046</c:v>
                </c:pt>
                <c:pt idx="433">
                  <c:v>8.6599999999999042</c:v>
                </c:pt>
                <c:pt idx="434">
                  <c:v>8.6799999999999038</c:v>
                </c:pt>
                <c:pt idx="435">
                  <c:v>8.6999999999999034</c:v>
                </c:pt>
                <c:pt idx="436">
                  <c:v>8.7199999999999029</c:v>
                </c:pt>
                <c:pt idx="437">
                  <c:v>8.7399999999999025</c:v>
                </c:pt>
                <c:pt idx="438">
                  <c:v>8.7599999999999021</c:v>
                </c:pt>
                <c:pt idx="439">
                  <c:v>8.7799999999999017</c:v>
                </c:pt>
                <c:pt idx="440">
                  <c:v>8.7999999999999012</c:v>
                </c:pt>
                <c:pt idx="441">
                  <c:v>8.8199999999999008</c:v>
                </c:pt>
                <c:pt idx="442">
                  <c:v>8.8399999999999004</c:v>
                </c:pt>
                <c:pt idx="443">
                  <c:v>8.8599999999999</c:v>
                </c:pt>
                <c:pt idx="444">
                  <c:v>8.8799999999998995</c:v>
                </c:pt>
                <c:pt idx="445">
                  <c:v>8.8999999999998991</c:v>
                </c:pt>
                <c:pt idx="446">
                  <c:v>8.9199999999998987</c:v>
                </c:pt>
                <c:pt idx="447">
                  <c:v>8.9399999999998983</c:v>
                </c:pt>
                <c:pt idx="448">
                  <c:v>8.9599999999998978</c:v>
                </c:pt>
                <c:pt idx="449">
                  <c:v>8.9799999999998974</c:v>
                </c:pt>
                <c:pt idx="450">
                  <c:v>8.999999999999897</c:v>
                </c:pt>
                <c:pt idx="451">
                  <c:v>9.0199999999998965</c:v>
                </c:pt>
                <c:pt idx="452">
                  <c:v>9.0399999999998961</c:v>
                </c:pt>
                <c:pt idx="453">
                  <c:v>9.0599999999998957</c:v>
                </c:pt>
                <c:pt idx="454">
                  <c:v>9.0799999999998953</c:v>
                </c:pt>
                <c:pt idx="455">
                  <c:v>9.0999999999998948</c:v>
                </c:pt>
                <c:pt idx="456">
                  <c:v>9.1199999999998944</c:v>
                </c:pt>
                <c:pt idx="457">
                  <c:v>9.139999999999894</c:v>
                </c:pt>
                <c:pt idx="458">
                  <c:v>9.1599999999998936</c:v>
                </c:pt>
                <c:pt idx="459">
                  <c:v>9.1799999999998931</c:v>
                </c:pt>
                <c:pt idx="460">
                  <c:v>9.1999999999998927</c:v>
                </c:pt>
                <c:pt idx="461">
                  <c:v>9.2199999999998923</c:v>
                </c:pt>
                <c:pt idx="462">
                  <c:v>9.2399999999998919</c:v>
                </c:pt>
                <c:pt idx="463">
                  <c:v>9.2599999999998914</c:v>
                </c:pt>
                <c:pt idx="464">
                  <c:v>9.279999999999891</c:v>
                </c:pt>
                <c:pt idx="465">
                  <c:v>9.2999999999998906</c:v>
                </c:pt>
                <c:pt idx="466">
                  <c:v>9.3199999999998902</c:v>
                </c:pt>
                <c:pt idx="467">
                  <c:v>9.3399999999998897</c:v>
                </c:pt>
                <c:pt idx="468">
                  <c:v>9.3599999999998893</c:v>
                </c:pt>
                <c:pt idx="469">
                  <c:v>9.3799999999998889</c:v>
                </c:pt>
                <c:pt idx="470">
                  <c:v>9.3999999999998884</c:v>
                </c:pt>
                <c:pt idx="471">
                  <c:v>9.419999999999888</c:v>
                </c:pt>
                <c:pt idx="472">
                  <c:v>9.4399999999998876</c:v>
                </c:pt>
                <c:pt idx="473">
                  <c:v>9.4599999999998872</c:v>
                </c:pt>
                <c:pt idx="474">
                  <c:v>9.4799999999998867</c:v>
                </c:pt>
                <c:pt idx="475">
                  <c:v>9.4999999999998863</c:v>
                </c:pt>
                <c:pt idx="476">
                  <c:v>9.5199999999998859</c:v>
                </c:pt>
                <c:pt idx="477">
                  <c:v>9.5399999999998855</c:v>
                </c:pt>
                <c:pt idx="478">
                  <c:v>9.559999999999885</c:v>
                </c:pt>
                <c:pt idx="479">
                  <c:v>9.5799999999998846</c:v>
                </c:pt>
                <c:pt idx="480">
                  <c:v>9.5999999999998842</c:v>
                </c:pt>
                <c:pt idx="481">
                  <c:v>9.6199999999998838</c:v>
                </c:pt>
                <c:pt idx="482">
                  <c:v>9.6399999999998833</c:v>
                </c:pt>
                <c:pt idx="483">
                  <c:v>9.6599999999998829</c:v>
                </c:pt>
                <c:pt idx="484">
                  <c:v>9.6799999999998825</c:v>
                </c:pt>
                <c:pt idx="485">
                  <c:v>9.699999999999882</c:v>
                </c:pt>
                <c:pt idx="486">
                  <c:v>9.7199999999998816</c:v>
                </c:pt>
                <c:pt idx="487">
                  <c:v>9.7399999999998812</c:v>
                </c:pt>
                <c:pt idx="488">
                  <c:v>9.7599999999998808</c:v>
                </c:pt>
                <c:pt idx="489">
                  <c:v>9.7799999999998803</c:v>
                </c:pt>
                <c:pt idx="490">
                  <c:v>9.7999999999998799</c:v>
                </c:pt>
                <c:pt idx="491">
                  <c:v>9.8199999999998795</c:v>
                </c:pt>
                <c:pt idx="492">
                  <c:v>9.8399999999998791</c:v>
                </c:pt>
                <c:pt idx="493">
                  <c:v>9.8599999999998786</c:v>
                </c:pt>
                <c:pt idx="494">
                  <c:v>9.8799999999998782</c:v>
                </c:pt>
                <c:pt idx="495">
                  <c:v>9.8999999999998778</c:v>
                </c:pt>
                <c:pt idx="496">
                  <c:v>9.9199999999998774</c:v>
                </c:pt>
                <c:pt idx="497">
                  <c:v>9.9399999999998769</c:v>
                </c:pt>
                <c:pt idx="498">
                  <c:v>9.9599999999998765</c:v>
                </c:pt>
                <c:pt idx="499">
                  <c:v>9.9799999999998761</c:v>
                </c:pt>
                <c:pt idx="500">
                  <c:v>9.9999999999998757</c:v>
                </c:pt>
                <c:pt idx="501">
                  <c:v>10.019999999999875</c:v>
                </c:pt>
                <c:pt idx="502">
                  <c:v>10.039999999999875</c:v>
                </c:pt>
                <c:pt idx="503">
                  <c:v>10.059999999999874</c:v>
                </c:pt>
                <c:pt idx="504">
                  <c:v>10.079999999999874</c:v>
                </c:pt>
                <c:pt idx="505">
                  <c:v>10.099999999999874</c:v>
                </c:pt>
                <c:pt idx="506">
                  <c:v>10.119999999999873</c:v>
                </c:pt>
                <c:pt idx="507">
                  <c:v>10.139999999999873</c:v>
                </c:pt>
                <c:pt idx="508">
                  <c:v>10.159999999999872</c:v>
                </c:pt>
                <c:pt idx="509">
                  <c:v>10.179999999999872</c:v>
                </c:pt>
                <c:pt idx="510">
                  <c:v>10.199999999999871</c:v>
                </c:pt>
                <c:pt idx="511">
                  <c:v>10.219999999999871</c:v>
                </c:pt>
                <c:pt idx="512">
                  <c:v>10.239999999999871</c:v>
                </c:pt>
                <c:pt idx="513">
                  <c:v>10.25999999999987</c:v>
                </c:pt>
                <c:pt idx="514">
                  <c:v>10.27999999999987</c:v>
                </c:pt>
                <c:pt idx="515">
                  <c:v>10.299999999999869</c:v>
                </c:pt>
                <c:pt idx="516">
                  <c:v>10.319999999999869</c:v>
                </c:pt>
                <c:pt idx="517">
                  <c:v>10.339999999999868</c:v>
                </c:pt>
                <c:pt idx="518">
                  <c:v>10.359999999999868</c:v>
                </c:pt>
                <c:pt idx="519">
                  <c:v>10.379999999999868</c:v>
                </c:pt>
                <c:pt idx="520">
                  <c:v>10.399999999999867</c:v>
                </c:pt>
                <c:pt idx="521">
                  <c:v>10.419999999999867</c:v>
                </c:pt>
                <c:pt idx="522">
                  <c:v>10.439999999999866</c:v>
                </c:pt>
                <c:pt idx="523">
                  <c:v>10.459999999999866</c:v>
                </c:pt>
                <c:pt idx="524">
                  <c:v>10.479999999999865</c:v>
                </c:pt>
                <c:pt idx="525">
                  <c:v>10.499999999999865</c:v>
                </c:pt>
                <c:pt idx="526">
                  <c:v>10.519999999999865</c:v>
                </c:pt>
                <c:pt idx="527">
                  <c:v>10.539999999999864</c:v>
                </c:pt>
                <c:pt idx="528">
                  <c:v>10.559999999999864</c:v>
                </c:pt>
                <c:pt idx="529">
                  <c:v>10.579999999999863</c:v>
                </c:pt>
                <c:pt idx="530">
                  <c:v>10.599999999999863</c:v>
                </c:pt>
                <c:pt idx="531">
                  <c:v>10.619999999999862</c:v>
                </c:pt>
                <c:pt idx="532">
                  <c:v>10.639999999999862</c:v>
                </c:pt>
                <c:pt idx="533">
                  <c:v>10.659999999999862</c:v>
                </c:pt>
                <c:pt idx="534">
                  <c:v>10.679999999999861</c:v>
                </c:pt>
                <c:pt idx="535">
                  <c:v>10.699999999999861</c:v>
                </c:pt>
                <c:pt idx="536">
                  <c:v>10.71999999999986</c:v>
                </c:pt>
                <c:pt idx="537">
                  <c:v>10.73999999999986</c:v>
                </c:pt>
                <c:pt idx="538">
                  <c:v>10.759999999999859</c:v>
                </c:pt>
                <c:pt idx="539">
                  <c:v>10.779999999999859</c:v>
                </c:pt>
                <c:pt idx="540">
                  <c:v>10.799999999999859</c:v>
                </c:pt>
                <c:pt idx="541">
                  <c:v>10.819999999999858</c:v>
                </c:pt>
                <c:pt idx="542">
                  <c:v>10.839999999999858</c:v>
                </c:pt>
                <c:pt idx="543">
                  <c:v>10.859999999999857</c:v>
                </c:pt>
                <c:pt idx="544">
                  <c:v>10.879999999999857</c:v>
                </c:pt>
                <c:pt idx="545">
                  <c:v>10.899999999999856</c:v>
                </c:pt>
                <c:pt idx="546">
                  <c:v>10.919999999999856</c:v>
                </c:pt>
                <c:pt idx="547">
                  <c:v>10.939999999999856</c:v>
                </c:pt>
                <c:pt idx="548">
                  <c:v>10.959999999999855</c:v>
                </c:pt>
                <c:pt idx="549">
                  <c:v>10.979999999999855</c:v>
                </c:pt>
                <c:pt idx="550">
                  <c:v>10.999999999999854</c:v>
                </c:pt>
                <c:pt idx="551">
                  <c:v>11.019999999999854</c:v>
                </c:pt>
                <c:pt idx="552">
                  <c:v>11.039999999999853</c:v>
                </c:pt>
                <c:pt idx="553">
                  <c:v>11.059999999999853</c:v>
                </c:pt>
                <c:pt idx="554">
                  <c:v>11.079999999999853</c:v>
                </c:pt>
                <c:pt idx="555">
                  <c:v>11.099999999999852</c:v>
                </c:pt>
                <c:pt idx="556">
                  <c:v>11.119999999999852</c:v>
                </c:pt>
                <c:pt idx="557">
                  <c:v>11.139999999999851</c:v>
                </c:pt>
                <c:pt idx="558">
                  <c:v>11.159999999999851</c:v>
                </c:pt>
                <c:pt idx="559">
                  <c:v>11.179999999999851</c:v>
                </c:pt>
                <c:pt idx="560">
                  <c:v>11.19999999999985</c:v>
                </c:pt>
                <c:pt idx="561">
                  <c:v>11.21999999999985</c:v>
                </c:pt>
                <c:pt idx="562">
                  <c:v>11.239999999999849</c:v>
                </c:pt>
                <c:pt idx="563">
                  <c:v>11.259999999999849</c:v>
                </c:pt>
                <c:pt idx="564">
                  <c:v>11.279999999999848</c:v>
                </c:pt>
                <c:pt idx="565">
                  <c:v>11.299999999999848</c:v>
                </c:pt>
                <c:pt idx="566">
                  <c:v>11.319999999999848</c:v>
                </c:pt>
                <c:pt idx="567">
                  <c:v>11.339999999999847</c:v>
                </c:pt>
                <c:pt idx="568">
                  <c:v>11.359999999999847</c:v>
                </c:pt>
                <c:pt idx="569">
                  <c:v>11.379999999999846</c:v>
                </c:pt>
                <c:pt idx="570">
                  <c:v>11.399999999999846</c:v>
                </c:pt>
                <c:pt idx="571">
                  <c:v>11.419999999999845</c:v>
                </c:pt>
                <c:pt idx="572">
                  <c:v>11.439999999999845</c:v>
                </c:pt>
                <c:pt idx="573">
                  <c:v>11.459999999999845</c:v>
                </c:pt>
                <c:pt idx="574">
                  <c:v>11.479999999999844</c:v>
                </c:pt>
                <c:pt idx="575">
                  <c:v>11.499999999999844</c:v>
                </c:pt>
                <c:pt idx="576">
                  <c:v>11.519999999999843</c:v>
                </c:pt>
                <c:pt idx="577">
                  <c:v>11.539999999999843</c:v>
                </c:pt>
                <c:pt idx="578">
                  <c:v>11.559999999999842</c:v>
                </c:pt>
                <c:pt idx="579">
                  <c:v>11.579999999999842</c:v>
                </c:pt>
                <c:pt idx="580">
                  <c:v>11.599999999999842</c:v>
                </c:pt>
                <c:pt idx="581">
                  <c:v>11.619999999999841</c:v>
                </c:pt>
                <c:pt idx="582">
                  <c:v>11.639999999999841</c:v>
                </c:pt>
                <c:pt idx="583">
                  <c:v>11.65999999999984</c:v>
                </c:pt>
                <c:pt idx="584">
                  <c:v>11.67999999999984</c:v>
                </c:pt>
                <c:pt idx="585">
                  <c:v>11.699999999999839</c:v>
                </c:pt>
                <c:pt idx="586">
                  <c:v>11.719999999999839</c:v>
                </c:pt>
                <c:pt idx="587">
                  <c:v>11.739999999999839</c:v>
                </c:pt>
                <c:pt idx="588">
                  <c:v>11.759999999999838</c:v>
                </c:pt>
                <c:pt idx="589">
                  <c:v>11.779999999999838</c:v>
                </c:pt>
                <c:pt idx="590">
                  <c:v>11.799999999999837</c:v>
                </c:pt>
                <c:pt idx="591">
                  <c:v>11.819999999999837</c:v>
                </c:pt>
                <c:pt idx="592">
                  <c:v>11.839999999999836</c:v>
                </c:pt>
                <c:pt idx="593">
                  <c:v>11.859999999999836</c:v>
                </c:pt>
                <c:pt idx="594">
                  <c:v>11.879999999999836</c:v>
                </c:pt>
                <c:pt idx="595">
                  <c:v>11.899999999999835</c:v>
                </c:pt>
                <c:pt idx="596">
                  <c:v>11.919999999999835</c:v>
                </c:pt>
                <c:pt idx="597">
                  <c:v>11.939999999999834</c:v>
                </c:pt>
                <c:pt idx="598">
                  <c:v>11.959999999999834</c:v>
                </c:pt>
                <c:pt idx="599">
                  <c:v>11.979999999999833</c:v>
                </c:pt>
                <c:pt idx="600">
                  <c:v>11.999999999999833</c:v>
                </c:pt>
                <c:pt idx="601">
                  <c:v>12.019999999999833</c:v>
                </c:pt>
                <c:pt idx="602">
                  <c:v>12.039999999999832</c:v>
                </c:pt>
                <c:pt idx="603">
                  <c:v>12.059999999999832</c:v>
                </c:pt>
                <c:pt idx="604">
                  <c:v>12.079999999999831</c:v>
                </c:pt>
                <c:pt idx="605">
                  <c:v>12.099999999999831</c:v>
                </c:pt>
                <c:pt idx="606">
                  <c:v>12.11999999999983</c:v>
                </c:pt>
                <c:pt idx="607">
                  <c:v>12.13999999999983</c:v>
                </c:pt>
                <c:pt idx="608">
                  <c:v>12.15999999999983</c:v>
                </c:pt>
                <c:pt idx="609">
                  <c:v>12.179999999999829</c:v>
                </c:pt>
                <c:pt idx="610">
                  <c:v>12.199999999999829</c:v>
                </c:pt>
                <c:pt idx="611">
                  <c:v>12.219999999999828</c:v>
                </c:pt>
                <c:pt idx="612">
                  <c:v>12.239999999999828</c:v>
                </c:pt>
                <c:pt idx="613">
                  <c:v>12.259999999999827</c:v>
                </c:pt>
                <c:pt idx="614">
                  <c:v>12.279999999999827</c:v>
                </c:pt>
                <c:pt idx="615">
                  <c:v>12.299999999999827</c:v>
                </c:pt>
                <c:pt idx="616">
                  <c:v>12.319999999999826</c:v>
                </c:pt>
                <c:pt idx="617">
                  <c:v>12.339999999999826</c:v>
                </c:pt>
                <c:pt idx="618">
                  <c:v>12.359999999999825</c:v>
                </c:pt>
                <c:pt idx="619">
                  <c:v>12.379999999999825</c:v>
                </c:pt>
                <c:pt idx="620">
                  <c:v>12.399999999999824</c:v>
                </c:pt>
                <c:pt idx="621">
                  <c:v>12.419999999999824</c:v>
                </c:pt>
                <c:pt idx="622">
                  <c:v>12.439999999999824</c:v>
                </c:pt>
                <c:pt idx="623">
                  <c:v>12.459999999999823</c:v>
                </c:pt>
                <c:pt idx="624">
                  <c:v>12.479999999999823</c:v>
                </c:pt>
                <c:pt idx="625">
                  <c:v>12.499999999999822</c:v>
                </c:pt>
                <c:pt idx="626">
                  <c:v>12.519999999999822</c:v>
                </c:pt>
                <c:pt idx="627">
                  <c:v>12.539999999999822</c:v>
                </c:pt>
                <c:pt idx="628">
                  <c:v>12.559999999999821</c:v>
                </c:pt>
                <c:pt idx="629">
                  <c:v>12.579999999999821</c:v>
                </c:pt>
                <c:pt idx="630">
                  <c:v>12.59999999999982</c:v>
                </c:pt>
                <c:pt idx="631">
                  <c:v>12.61999999999982</c:v>
                </c:pt>
                <c:pt idx="632">
                  <c:v>12.639999999999819</c:v>
                </c:pt>
                <c:pt idx="633">
                  <c:v>12.659999999999819</c:v>
                </c:pt>
                <c:pt idx="634">
                  <c:v>12.679999999999819</c:v>
                </c:pt>
                <c:pt idx="635">
                  <c:v>12.699999999999818</c:v>
                </c:pt>
                <c:pt idx="636">
                  <c:v>12.719999999999818</c:v>
                </c:pt>
                <c:pt idx="637">
                  <c:v>12.739999999999817</c:v>
                </c:pt>
                <c:pt idx="638">
                  <c:v>12.759999999999817</c:v>
                </c:pt>
                <c:pt idx="639">
                  <c:v>12.779999999999816</c:v>
                </c:pt>
                <c:pt idx="640">
                  <c:v>12.799999999999816</c:v>
                </c:pt>
                <c:pt idx="641">
                  <c:v>12.819999999999816</c:v>
                </c:pt>
                <c:pt idx="642">
                  <c:v>12.839999999999815</c:v>
                </c:pt>
                <c:pt idx="643">
                  <c:v>12.859999999999815</c:v>
                </c:pt>
                <c:pt idx="644">
                  <c:v>12.879999999999814</c:v>
                </c:pt>
                <c:pt idx="645">
                  <c:v>12.899999999999814</c:v>
                </c:pt>
                <c:pt idx="646">
                  <c:v>12.919999999999813</c:v>
                </c:pt>
                <c:pt idx="647">
                  <c:v>12.939999999999813</c:v>
                </c:pt>
                <c:pt idx="648">
                  <c:v>12.959999999999813</c:v>
                </c:pt>
                <c:pt idx="649">
                  <c:v>12.979999999999812</c:v>
                </c:pt>
                <c:pt idx="650">
                  <c:v>12.999999999999812</c:v>
                </c:pt>
                <c:pt idx="651">
                  <c:v>13.019999999999811</c:v>
                </c:pt>
                <c:pt idx="652">
                  <c:v>13.039999999999811</c:v>
                </c:pt>
                <c:pt idx="653">
                  <c:v>13.05999999999981</c:v>
                </c:pt>
                <c:pt idx="654">
                  <c:v>13.07999999999981</c:v>
                </c:pt>
                <c:pt idx="655">
                  <c:v>13.09999999999981</c:v>
                </c:pt>
                <c:pt idx="656">
                  <c:v>13.119999999999809</c:v>
                </c:pt>
                <c:pt idx="657">
                  <c:v>13.139999999999809</c:v>
                </c:pt>
                <c:pt idx="658">
                  <c:v>13.159999999999808</c:v>
                </c:pt>
                <c:pt idx="659">
                  <c:v>13.179999999999808</c:v>
                </c:pt>
                <c:pt idx="660">
                  <c:v>13.199999999999807</c:v>
                </c:pt>
                <c:pt idx="661">
                  <c:v>13.219999999999807</c:v>
                </c:pt>
                <c:pt idx="662">
                  <c:v>13.239999999999807</c:v>
                </c:pt>
                <c:pt idx="663">
                  <c:v>13.259999999999806</c:v>
                </c:pt>
                <c:pt idx="664">
                  <c:v>13.279999999999806</c:v>
                </c:pt>
                <c:pt idx="665">
                  <c:v>13.299999999999805</c:v>
                </c:pt>
                <c:pt idx="666">
                  <c:v>13.319999999999805</c:v>
                </c:pt>
                <c:pt idx="667">
                  <c:v>13.339999999999804</c:v>
                </c:pt>
                <c:pt idx="668">
                  <c:v>13.359999999999804</c:v>
                </c:pt>
                <c:pt idx="669">
                  <c:v>13.379999999999804</c:v>
                </c:pt>
                <c:pt idx="670">
                  <c:v>13.399999999999803</c:v>
                </c:pt>
                <c:pt idx="671">
                  <c:v>13.419999999999803</c:v>
                </c:pt>
                <c:pt idx="672">
                  <c:v>13.439999999999802</c:v>
                </c:pt>
                <c:pt idx="673">
                  <c:v>13.459999999999802</c:v>
                </c:pt>
                <c:pt idx="674">
                  <c:v>13.479999999999801</c:v>
                </c:pt>
                <c:pt idx="675">
                  <c:v>13.499999999999801</c:v>
                </c:pt>
                <c:pt idx="676">
                  <c:v>13.519999999999801</c:v>
                </c:pt>
                <c:pt idx="677">
                  <c:v>13.5399999999998</c:v>
                </c:pt>
                <c:pt idx="678">
                  <c:v>13.5599999999998</c:v>
                </c:pt>
                <c:pt idx="679">
                  <c:v>13.579999999999799</c:v>
                </c:pt>
                <c:pt idx="680">
                  <c:v>13.599999999999799</c:v>
                </c:pt>
                <c:pt idx="681">
                  <c:v>13.619999999999798</c:v>
                </c:pt>
                <c:pt idx="682">
                  <c:v>13.639999999999798</c:v>
                </c:pt>
                <c:pt idx="683">
                  <c:v>13.659999999999798</c:v>
                </c:pt>
                <c:pt idx="684">
                  <c:v>13.679999999999797</c:v>
                </c:pt>
                <c:pt idx="685">
                  <c:v>13.699999999999797</c:v>
                </c:pt>
                <c:pt idx="686">
                  <c:v>13.719999999999796</c:v>
                </c:pt>
                <c:pt idx="687">
                  <c:v>13.739999999999796</c:v>
                </c:pt>
                <c:pt idx="688">
                  <c:v>13.759999999999796</c:v>
                </c:pt>
                <c:pt idx="689">
                  <c:v>13.779999999999795</c:v>
                </c:pt>
                <c:pt idx="690">
                  <c:v>13.799999999999795</c:v>
                </c:pt>
                <c:pt idx="691">
                  <c:v>13.819999999999794</c:v>
                </c:pt>
                <c:pt idx="692">
                  <c:v>13.839999999999794</c:v>
                </c:pt>
                <c:pt idx="693">
                  <c:v>13.859999999999793</c:v>
                </c:pt>
                <c:pt idx="694">
                  <c:v>13.879999999999793</c:v>
                </c:pt>
                <c:pt idx="695">
                  <c:v>13.899999999999793</c:v>
                </c:pt>
                <c:pt idx="696">
                  <c:v>13.919999999999792</c:v>
                </c:pt>
                <c:pt idx="697">
                  <c:v>13.939999999999792</c:v>
                </c:pt>
                <c:pt idx="698">
                  <c:v>13.959999999999791</c:v>
                </c:pt>
                <c:pt idx="699">
                  <c:v>13.979999999999791</c:v>
                </c:pt>
                <c:pt idx="700">
                  <c:v>13.99999999999979</c:v>
                </c:pt>
                <c:pt idx="701">
                  <c:v>14.01999999999979</c:v>
                </c:pt>
                <c:pt idx="702">
                  <c:v>14.03999999999979</c:v>
                </c:pt>
                <c:pt idx="703">
                  <c:v>14.059999999999789</c:v>
                </c:pt>
                <c:pt idx="704">
                  <c:v>14.079999999999789</c:v>
                </c:pt>
                <c:pt idx="705">
                  <c:v>14.099999999999788</c:v>
                </c:pt>
                <c:pt idx="706">
                  <c:v>14.119999999999788</c:v>
                </c:pt>
                <c:pt idx="707">
                  <c:v>14.139999999999787</c:v>
                </c:pt>
                <c:pt idx="708">
                  <c:v>14.159999999999787</c:v>
                </c:pt>
                <c:pt idx="709">
                  <c:v>14.179999999999787</c:v>
                </c:pt>
                <c:pt idx="710">
                  <c:v>14.199999999999786</c:v>
                </c:pt>
                <c:pt idx="711">
                  <c:v>14.219999999999786</c:v>
                </c:pt>
              </c:numCache>
            </c:numRef>
          </c:xVal>
          <c:yVal>
            <c:numRef>
              <c:f>Function!$C$20:$C$731</c:f>
              <c:numCache>
                <c:formatCode>General</c:formatCode>
                <c:ptCount val="712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18</c:v>
                </c:pt>
                <c:pt idx="4">
                  <c:v>24</c:v>
                </c:pt>
                <c:pt idx="5">
                  <c:v>29.999999999999996</c:v>
                </c:pt>
                <c:pt idx="6">
                  <c:v>36</c:v>
                </c:pt>
                <c:pt idx="7">
                  <c:v>37.25</c:v>
                </c:pt>
                <c:pt idx="8">
                  <c:v>37.25</c:v>
                </c:pt>
                <c:pt idx="9">
                  <c:v>37.25</c:v>
                </c:pt>
                <c:pt idx="10">
                  <c:v>37.25</c:v>
                </c:pt>
                <c:pt idx="11">
                  <c:v>37.25</c:v>
                </c:pt>
                <c:pt idx="12">
                  <c:v>37.25</c:v>
                </c:pt>
                <c:pt idx="13">
                  <c:v>37.25</c:v>
                </c:pt>
                <c:pt idx="14">
                  <c:v>37.25</c:v>
                </c:pt>
                <c:pt idx="15">
                  <c:v>37.25</c:v>
                </c:pt>
                <c:pt idx="16">
                  <c:v>37.25</c:v>
                </c:pt>
                <c:pt idx="17">
                  <c:v>37.25</c:v>
                </c:pt>
                <c:pt idx="18">
                  <c:v>37.25</c:v>
                </c:pt>
                <c:pt idx="19">
                  <c:v>37.25</c:v>
                </c:pt>
                <c:pt idx="20">
                  <c:v>37.25</c:v>
                </c:pt>
                <c:pt idx="21">
                  <c:v>37.25</c:v>
                </c:pt>
                <c:pt idx="22">
                  <c:v>37.25</c:v>
                </c:pt>
                <c:pt idx="23">
                  <c:v>37.25</c:v>
                </c:pt>
                <c:pt idx="24">
                  <c:v>31.25</c:v>
                </c:pt>
                <c:pt idx="25">
                  <c:v>25.25</c:v>
                </c:pt>
                <c:pt idx="26">
                  <c:v>19.25</c:v>
                </c:pt>
                <c:pt idx="27">
                  <c:v>13.250000000000002</c:v>
                </c:pt>
                <c:pt idx="28">
                  <c:v>7.2500000000000018</c:v>
                </c:pt>
                <c:pt idx="29">
                  <c:v>1.2500000000000022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11-4D07-BC8A-844123B63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7688928"/>
        <c:axId val="1777689888"/>
      </c:scatterChart>
      <c:valAx>
        <c:axId val="1777688928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689888"/>
        <c:crosses val="autoZero"/>
        <c:crossBetween val="midCat"/>
      </c:valAx>
      <c:valAx>
        <c:axId val="177768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688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Function!$A$20:$A$731</c:f>
              <c:numCache>
                <c:formatCode>General</c:formatCode>
                <c:ptCount val="712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0.12000000000000001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0.21999999999999997</c:v>
                </c:pt>
                <c:pt idx="12">
                  <c:v>0.23999999999999996</c:v>
                </c:pt>
                <c:pt idx="13">
                  <c:v>0.25999999999999995</c:v>
                </c:pt>
                <c:pt idx="14">
                  <c:v>0.27999999999999997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0.36000000000000004</c:v>
                </c:pt>
                <c:pt idx="19">
                  <c:v>0.38000000000000006</c:v>
                </c:pt>
                <c:pt idx="20">
                  <c:v>0.40000000000000008</c:v>
                </c:pt>
                <c:pt idx="21">
                  <c:v>0.4200000000000001</c:v>
                </c:pt>
                <c:pt idx="22">
                  <c:v>0.44000000000000011</c:v>
                </c:pt>
                <c:pt idx="23">
                  <c:v>0.46000000000000013</c:v>
                </c:pt>
                <c:pt idx="24">
                  <c:v>0.48000000000000015</c:v>
                </c:pt>
                <c:pt idx="25">
                  <c:v>0.50000000000000011</c:v>
                </c:pt>
                <c:pt idx="26">
                  <c:v>0.52000000000000013</c:v>
                </c:pt>
                <c:pt idx="27">
                  <c:v>0.54000000000000015</c:v>
                </c:pt>
                <c:pt idx="28">
                  <c:v>0.56000000000000016</c:v>
                </c:pt>
                <c:pt idx="29">
                  <c:v>0.58000000000000018</c:v>
                </c:pt>
                <c:pt idx="30">
                  <c:v>0.6000000000000002</c:v>
                </c:pt>
                <c:pt idx="31">
                  <c:v>0.62000000000000022</c:v>
                </c:pt>
                <c:pt idx="32">
                  <c:v>0.64000000000000024</c:v>
                </c:pt>
                <c:pt idx="33">
                  <c:v>0.66000000000000025</c:v>
                </c:pt>
                <c:pt idx="34">
                  <c:v>0.68000000000000027</c:v>
                </c:pt>
                <c:pt idx="35">
                  <c:v>0.70000000000000029</c:v>
                </c:pt>
                <c:pt idx="36">
                  <c:v>0.72000000000000031</c:v>
                </c:pt>
                <c:pt idx="37">
                  <c:v>0.74000000000000032</c:v>
                </c:pt>
                <c:pt idx="38">
                  <c:v>0.76000000000000034</c:v>
                </c:pt>
                <c:pt idx="39">
                  <c:v>0.78000000000000036</c:v>
                </c:pt>
                <c:pt idx="40">
                  <c:v>0.80000000000000038</c:v>
                </c:pt>
                <c:pt idx="41">
                  <c:v>0.8200000000000004</c:v>
                </c:pt>
                <c:pt idx="42">
                  <c:v>0.84000000000000041</c:v>
                </c:pt>
                <c:pt idx="43">
                  <c:v>0.86000000000000043</c:v>
                </c:pt>
                <c:pt idx="44">
                  <c:v>0.88000000000000045</c:v>
                </c:pt>
                <c:pt idx="45">
                  <c:v>0.90000000000000047</c:v>
                </c:pt>
                <c:pt idx="46">
                  <c:v>0.92000000000000048</c:v>
                </c:pt>
                <c:pt idx="47">
                  <c:v>0.9400000000000005</c:v>
                </c:pt>
                <c:pt idx="48">
                  <c:v>0.96000000000000052</c:v>
                </c:pt>
                <c:pt idx="49">
                  <c:v>0.98000000000000054</c:v>
                </c:pt>
                <c:pt idx="50">
                  <c:v>1.0000000000000004</c:v>
                </c:pt>
                <c:pt idx="51">
                  <c:v>1.0200000000000005</c:v>
                </c:pt>
                <c:pt idx="52">
                  <c:v>1.0400000000000005</c:v>
                </c:pt>
                <c:pt idx="53">
                  <c:v>1.0600000000000005</c:v>
                </c:pt>
                <c:pt idx="54">
                  <c:v>1.0800000000000005</c:v>
                </c:pt>
                <c:pt idx="55">
                  <c:v>1.1000000000000005</c:v>
                </c:pt>
                <c:pt idx="56">
                  <c:v>1.1200000000000006</c:v>
                </c:pt>
                <c:pt idx="57">
                  <c:v>1.1400000000000006</c:v>
                </c:pt>
                <c:pt idx="58">
                  <c:v>1.1600000000000006</c:v>
                </c:pt>
                <c:pt idx="59">
                  <c:v>1.1800000000000006</c:v>
                </c:pt>
                <c:pt idx="60">
                  <c:v>1.2000000000000006</c:v>
                </c:pt>
                <c:pt idx="61">
                  <c:v>1.2200000000000006</c:v>
                </c:pt>
                <c:pt idx="62">
                  <c:v>1.2400000000000007</c:v>
                </c:pt>
                <c:pt idx="63">
                  <c:v>1.2600000000000007</c:v>
                </c:pt>
                <c:pt idx="64">
                  <c:v>1.2800000000000007</c:v>
                </c:pt>
                <c:pt idx="65">
                  <c:v>1.3000000000000007</c:v>
                </c:pt>
                <c:pt idx="66">
                  <c:v>1.3200000000000007</c:v>
                </c:pt>
                <c:pt idx="67">
                  <c:v>1.3400000000000007</c:v>
                </c:pt>
                <c:pt idx="68">
                  <c:v>1.3600000000000008</c:v>
                </c:pt>
                <c:pt idx="69">
                  <c:v>1.3800000000000008</c:v>
                </c:pt>
                <c:pt idx="70">
                  <c:v>1.4000000000000008</c:v>
                </c:pt>
                <c:pt idx="71">
                  <c:v>1.4200000000000008</c:v>
                </c:pt>
                <c:pt idx="72">
                  <c:v>1.4400000000000008</c:v>
                </c:pt>
                <c:pt idx="73">
                  <c:v>1.4600000000000009</c:v>
                </c:pt>
                <c:pt idx="74">
                  <c:v>1.4800000000000009</c:v>
                </c:pt>
                <c:pt idx="75">
                  <c:v>1.5000000000000009</c:v>
                </c:pt>
                <c:pt idx="76">
                  <c:v>1.5200000000000009</c:v>
                </c:pt>
                <c:pt idx="77">
                  <c:v>1.5400000000000009</c:v>
                </c:pt>
                <c:pt idx="78">
                  <c:v>1.5600000000000009</c:v>
                </c:pt>
                <c:pt idx="79">
                  <c:v>1.580000000000001</c:v>
                </c:pt>
                <c:pt idx="80">
                  <c:v>1.600000000000001</c:v>
                </c:pt>
                <c:pt idx="81">
                  <c:v>1.620000000000001</c:v>
                </c:pt>
                <c:pt idx="82">
                  <c:v>1.640000000000001</c:v>
                </c:pt>
                <c:pt idx="83">
                  <c:v>1.660000000000001</c:v>
                </c:pt>
                <c:pt idx="84">
                  <c:v>1.680000000000001</c:v>
                </c:pt>
                <c:pt idx="85">
                  <c:v>1.7000000000000011</c:v>
                </c:pt>
                <c:pt idx="86">
                  <c:v>1.7200000000000011</c:v>
                </c:pt>
                <c:pt idx="87">
                  <c:v>1.7400000000000011</c:v>
                </c:pt>
                <c:pt idx="88">
                  <c:v>1.7600000000000011</c:v>
                </c:pt>
                <c:pt idx="89">
                  <c:v>1.7800000000000011</c:v>
                </c:pt>
                <c:pt idx="90">
                  <c:v>1.8000000000000012</c:v>
                </c:pt>
                <c:pt idx="91">
                  <c:v>1.8200000000000012</c:v>
                </c:pt>
                <c:pt idx="92">
                  <c:v>1.8400000000000012</c:v>
                </c:pt>
                <c:pt idx="93">
                  <c:v>1.8600000000000012</c:v>
                </c:pt>
                <c:pt idx="94">
                  <c:v>1.8800000000000012</c:v>
                </c:pt>
                <c:pt idx="95">
                  <c:v>1.9000000000000012</c:v>
                </c:pt>
                <c:pt idx="96">
                  <c:v>1.9200000000000013</c:v>
                </c:pt>
                <c:pt idx="97">
                  <c:v>1.9400000000000013</c:v>
                </c:pt>
                <c:pt idx="98">
                  <c:v>1.9600000000000013</c:v>
                </c:pt>
                <c:pt idx="99">
                  <c:v>1.9800000000000013</c:v>
                </c:pt>
                <c:pt idx="100">
                  <c:v>2.0000000000000013</c:v>
                </c:pt>
                <c:pt idx="101">
                  <c:v>2.0200000000000014</c:v>
                </c:pt>
                <c:pt idx="102">
                  <c:v>2.0400000000000014</c:v>
                </c:pt>
                <c:pt idx="103">
                  <c:v>2.0600000000000014</c:v>
                </c:pt>
                <c:pt idx="104">
                  <c:v>2.0800000000000014</c:v>
                </c:pt>
                <c:pt idx="105">
                  <c:v>2.1000000000000014</c:v>
                </c:pt>
                <c:pt idx="106">
                  <c:v>2.1200000000000014</c:v>
                </c:pt>
                <c:pt idx="107">
                  <c:v>2.1400000000000015</c:v>
                </c:pt>
                <c:pt idx="108">
                  <c:v>2.1600000000000015</c:v>
                </c:pt>
                <c:pt idx="109">
                  <c:v>2.1800000000000015</c:v>
                </c:pt>
                <c:pt idx="110">
                  <c:v>2.2000000000000015</c:v>
                </c:pt>
                <c:pt idx="111">
                  <c:v>2.2200000000000015</c:v>
                </c:pt>
                <c:pt idx="112">
                  <c:v>2.2400000000000015</c:v>
                </c:pt>
                <c:pt idx="113">
                  <c:v>2.2600000000000016</c:v>
                </c:pt>
                <c:pt idx="114">
                  <c:v>2.2800000000000016</c:v>
                </c:pt>
                <c:pt idx="115">
                  <c:v>2.3000000000000016</c:v>
                </c:pt>
                <c:pt idx="116">
                  <c:v>2.3200000000000016</c:v>
                </c:pt>
                <c:pt idx="117">
                  <c:v>2.3400000000000016</c:v>
                </c:pt>
                <c:pt idx="118">
                  <c:v>2.3600000000000017</c:v>
                </c:pt>
                <c:pt idx="119">
                  <c:v>2.3800000000000017</c:v>
                </c:pt>
                <c:pt idx="120">
                  <c:v>2.4000000000000017</c:v>
                </c:pt>
                <c:pt idx="121">
                  <c:v>2.4200000000000017</c:v>
                </c:pt>
                <c:pt idx="122">
                  <c:v>2.4400000000000017</c:v>
                </c:pt>
                <c:pt idx="123">
                  <c:v>2.4600000000000017</c:v>
                </c:pt>
                <c:pt idx="124">
                  <c:v>2.4800000000000018</c:v>
                </c:pt>
                <c:pt idx="125">
                  <c:v>2.5000000000000018</c:v>
                </c:pt>
                <c:pt idx="126">
                  <c:v>2.5200000000000018</c:v>
                </c:pt>
                <c:pt idx="127">
                  <c:v>2.5400000000000018</c:v>
                </c:pt>
                <c:pt idx="128">
                  <c:v>2.5600000000000018</c:v>
                </c:pt>
                <c:pt idx="129">
                  <c:v>2.5800000000000018</c:v>
                </c:pt>
                <c:pt idx="130">
                  <c:v>2.6000000000000019</c:v>
                </c:pt>
                <c:pt idx="131">
                  <c:v>2.6200000000000019</c:v>
                </c:pt>
                <c:pt idx="132">
                  <c:v>2.6400000000000019</c:v>
                </c:pt>
                <c:pt idx="133">
                  <c:v>2.6600000000000019</c:v>
                </c:pt>
                <c:pt idx="134">
                  <c:v>2.6800000000000019</c:v>
                </c:pt>
                <c:pt idx="135">
                  <c:v>2.700000000000002</c:v>
                </c:pt>
                <c:pt idx="136">
                  <c:v>2.720000000000002</c:v>
                </c:pt>
                <c:pt idx="137">
                  <c:v>2.740000000000002</c:v>
                </c:pt>
                <c:pt idx="138">
                  <c:v>2.760000000000002</c:v>
                </c:pt>
                <c:pt idx="139">
                  <c:v>2.780000000000002</c:v>
                </c:pt>
                <c:pt idx="140">
                  <c:v>2.800000000000002</c:v>
                </c:pt>
                <c:pt idx="141">
                  <c:v>2.8200000000000021</c:v>
                </c:pt>
                <c:pt idx="142">
                  <c:v>2.8400000000000021</c:v>
                </c:pt>
                <c:pt idx="143">
                  <c:v>2.8600000000000021</c:v>
                </c:pt>
                <c:pt idx="144">
                  <c:v>2.8800000000000021</c:v>
                </c:pt>
                <c:pt idx="145">
                  <c:v>2.9000000000000021</c:v>
                </c:pt>
                <c:pt idx="146">
                  <c:v>2.9200000000000021</c:v>
                </c:pt>
                <c:pt idx="147">
                  <c:v>2.9400000000000022</c:v>
                </c:pt>
                <c:pt idx="148">
                  <c:v>2.9600000000000022</c:v>
                </c:pt>
                <c:pt idx="149">
                  <c:v>2.9800000000000022</c:v>
                </c:pt>
                <c:pt idx="150">
                  <c:v>3.0000000000000022</c:v>
                </c:pt>
                <c:pt idx="151">
                  <c:v>3.0200000000000022</c:v>
                </c:pt>
                <c:pt idx="152">
                  <c:v>3.0400000000000023</c:v>
                </c:pt>
                <c:pt idx="153">
                  <c:v>3.0600000000000023</c:v>
                </c:pt>
                <c:pt idx="154">
                  <c:v>3.0800000000000023</c:v>
                </c:pt>
                <c:pt idx="155">
                  <c:v>3.1000000000000023</c:v>
                </c:pt>
                <c:pt idx="156">
                  <c:v>3.1200000000000023</c:v>
                </c:pt>
                <c:pt idx="157">
                  <c:v>3.1400000000000023</c:v>
                </c:pt>
                <c:pt idx="158">
                  <c:v>3.1600000000000024</c:v>
                </c:pt>
                <c:pt idx="159">
                  <c:v>3.1800000000000024</c:v>
                </c:pt>
                <c:pt idx="160">
                  <c:v>3.2000000000000024</c:v>
                </c:pt>
                <c:pt idx="161">
                  <c:v>3.2200000000000024</c:v>
                </c:pt>
                <c:pt idx="162">
                  <c:v>3.2400000000000024</c:v>
                </c:pt>
                <c:pt idx="163">
                  <c:v>3.2600000000000025</c:v>
                </c:pt>
                <c:pt idx="164">
                  <c:v>3.2800000000000025</c:v>
                </c:pt>
                <c:pt idx="165">
                  <c:v>3.3000000000000025</c:v>
                </c:pt>
                <c:pt idx="166">
                  <c:v>3.3200000000000025</c:v>
                </c:pt>
                <c:pt idx="167">
                  <c:v>3.3400000000000025</c:v>
                </c:pt>
                <c:pt idx="168">
                  <c:v>3.3600000000000025</c:v>
                </c:pt>
                <c:pt idx="169">
                  <c:v>3.3800000000000026</c:v>
                </c:pt>
                <c:pt idx="170">
                  <c:v>3.4000000000000026</c:v>
                </c:pt>
                <c:pt idx="171">
                  <c:v>3.4200000000000026</c:v>
                </c:pt>
                <c:pt idx="172">
                  <c:v>3.4400000000000026</c:v>
                </c:pt>
                <c:pt idx="173">
                  <c:v>3.4600000000000026</c:v>
                </c:pt>
                <c:pt idx="174">
                  <c:v>3.4800000000000026</c:v>
                </c:pt>
                <c:pt idx="175">
                  <c:v>3.5000000000000027</c:v>
                </c:pt>
                <c:pt idx="176">
                  <c:v>3.5200000000000027</c:v>
                </c:pt>
                <c:pt idx="177">
                  <c:v>3.5400000000000027</c:v>
                </c:pt>
                <c:pt idx="178">
                  <c:v>3.5600000000000027</c:v>
                </c:pt>
                <c:pt idx="179">
                  <c:v>3.5800000000000027</c:v>
                </c:pt>
                <c:pt idx="180">
                  <c:v>3.6000000000000028</c:v>
                </c:pt>
                <c:pt idx="181">
                  <c:v>3.6200000000000028</c:v>
                </c:pt>
                <c:pt idx="182">
                  <c:v>3.6400000000000028</c:v>
                </c:pt>
                <c:pt idx="183">
                  <c:v>3.6600000000000028</c:v>
                </c:pt>
                <c:pt idx="184">
                  <c:v>3.6800000000000028</c:v>
                </c:pt>
                <c:pt idx="185">
                  <c:v>3.7000000000000028</c:v>
                </c:pt>
                <c:pt idx="186">
                  <c:v>3.7200000000000029</c:v>
                </c:pt>
                <c:pt idx="187">
                  <c:v>3.7400000000000029</c:v>
                </c:pt>
                <c:pt idx="188">
                  <c:v>3.7600000000000029</c:v>
                </c:pt>
                <c:pt idx="189">
                  <c:v>3.7800000000000029</c:v>
                </c:pt>
                <c:pt idx="190">
                  <c:v>3.8000000000000029</c:v>
                </c:pt>
                <c:pt idx="191">
                  <c:v>3.8200000000000029</c:v>
                </c:pt>
                <c:pt idx="192">
                  <c:v>3.840000000000003</c:v>
                </c:pt>
                <c:pt idx="193">
                  <c:v>3.860000000000003</c:v>
                </c:pt>
                <c:pt idx="194">
                  <c:v>3.880000000000003</c:v>
                </c:pt>
                <c:pt idx="195">
                  <c:v>3.900000000000003</c:v>
                </c:pt>
                <c:pt idx="196">
                  <c:v>3.920000000000003</c:v>
                </c:pt>
                <c:pt idx="197">
                  <c:v>3.9400000000000031</c:v>
                </c:pt>
                <c:pt idx="198">
                  <c:v>3.9600000000000031</c:v>
                </c:pt>
                <c:pt idx="199">
                  <c:v>3.9800000000000031</c:v>
                </c:pt>
                <c:pt idx="200">
                  <c:v>4.0000000000000027</c:v>
                </c:pt>
                <c:pt idx="201">
                  <c:v>4.0200000000000022</c:v>
                </c:pt>
                <c:pt idx="202">
                  <c:v>4.0400000000000018</c:v>
                </c:pt>
                <c:pt idx="203">
                  <c:v>4.0600000000000014</c:v>
                </c:pt>
                <c:pt idx="204">
                  <c:v>4.080000000000001</c:v>
                </c:pt>
                <c:pt idx="205">
                  <c:v>4.1000000000000005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4.1599999999999993</c:v>
                </c:pt>
                <c:pt idx="209">
                  <c:v>4.1799999999999988</c:v>
                </c:pt>
                <c:pt idx="210">
                  <c:v>4.1999999999999984</c:v>
                </c:pt>
                <c:pt idx="211">
                  <c:v>4.219999999999998</c:v>
                </c:pt>
                <c:pt idx="212">
                  <c:v>4.2399999999999975</c:v>
                </c:pt>
                <c:pt idx="213">
                  <c:v>4.2599999999999971</c:v>
                </c:pt>
                <c:pt idx="214">
                  <c:v>4.2799999999999967</c:v>
                </c:pt>
                <c:pt idx="215">
                  <c:v>4.2999999999999963</c:v>
                </c:pt>
                <c:pt idx="216">
                  <c:v>4.3199999999999958</c:v>
                </c:pt>
                <c:pt idx="217">
                  <c:v>4.3399999999999954</c:v>
                </c:pt>
                <c:pt idx="218">
                  <c:v>4.359999999999995</c:v>
                </c:pt>
                <c:pt idx="219">
                  <c:v>4.3799999999999946</c:v>
                </c:pt>
                <c:pt idx="220">
                  <c:v>4.3999999999999941</c:v>
                </c:pt>
                <c:pt idx="221">
                  <c:v>4.4199999999999937</c:v>
                </c:pt>
                <c:pt idx="222">
                  <c:v>4.4399999999999933</c:v>
                </c:pt>
                <c:pt idx="223">
                  <c:v>4.4599999999999929</c:v>
                </c:pt>
                <c:pt idx="224">
                  <c:v>4.4799999999999924</c:v>
                </c:pt>
                <c:pt idx="225">
                  <c:v>4.499999999999992</c:v>
                </c:pt>
                <c:pt idx="226">
                  <c:v>4.5199999999999916</c:v>
                </c:pt>
                <c:pt idx="227">
                  <c:v>4.5399999999999912</c:v>
                </c:pt>
                <c:pt idx="228">
                  <c:v>4.5599999999999907</c:v>
                </c:pt>
                <c:pt idx="229">
                  <c:v>4.5799999999999903</c:v>
                </c:pt>
                <c:pt idx="230">
                  <c:v>4.5999999999999899</c:v>
                </c:pt>
                <c:pt idx="231">
                  <c:v>4.6199999999999894</c:v>
                </c:pt>
                <c:pt idx="232">
                  <c:v>4.639999999999989</c:v>
                </c:pt>
                <c:pt idx="233">
                  <c:v>4.6599999999999886</c:v>
                </c:pt>
                <c:pt idx="234">
                  <c:v>4.6799999999999882</c:v>
                </c:pt>
                <c:pt idx="235">
                  <c:v>4.6999999999999877</c:v>
                </c:pt>
                <c:pt idx="236">
                  <c:v>4.7199999999999873</c:v>
                </c:pt>
                <c:pt idx="237">
                  <c:v>4.7399999999999869</c:v>
                </c:pt>
                <c:pt idx="238">
                  <c:v>4.7599999999999865</c:v>
                </c:pt>
                <c:pt idx="239">
                  <c:v>4.779999999999986</c:v>
                </c:pt>
                <c:pt idx="240">
                  <c:v>4.7999999999999856</c:v>
                </c:pt>
                <c:pt idx="241">
                  <c:v>4.8199999999999852</c:v>
                </c:pt>
                <c:pt idx="242">
                  <c:v>4.8399999999999848</c:v>
                </c:pt>
                <c:pt idx="243">
                  <c:v>4.8599999999999843</c:v>
                </c:pt>
                <c:pt idx="244">
                  <c:v>4.8799999999999839</c:v>
                </c:pt>
                <c:pt idx="245">
                  <c:v>4.8999999999999835</c:v>
                </c:pt>
                <c:pt idx="246">
                  <c:v>4.9199999999999831</c:v>
                </c:pt>
                <c:pt idx="247">
                  <c:v>4.9399999999999826</c:v>
                </c:pt>
                <c:pt idx="248">
                  <c:v>4.9599999999999822</c:v>
                </c:pt>
                <c:pt idx="249">
                  <c:v>4.9799999999999818</c:v>
                </c:pt>
                <c:pt idx="250">
                  <c:v>4.9999999999999813</c:v>
                </c:pt>
                <c:pt idx="251">
                  <c:v>5.0199999999999809</c:v>
                </c:pt>
                <c:pt idx="252">
                  <c:v>5.0399999999999805</c:v>
                </c:pt>
                <c:pt idx="253">
                  <c:v>5.0599999999999801</c:v>
                </c:pt>
                <c:pt idx="254">
                  <c:v>5.0799999999999796</c:v>
                </c:pt>
                <c:pt idx="255">
                  <c:v>5.0999999999999792</c:v>
                </c:pt>
                <c:pt idx="256">
                  <c:v>5.1199999999999788</c:v>
                </c:pt>
                <c:pt idx="257">
                  <c:v>5.1399999999999784</c:v>
                </c:pt>
                <c:pt idx="258">
                  <c:v>5.1599999999999779</c:v>
                </c:pt>
                <c:pt idx="259">
                  <c:v>5.1799999999999775</c:v>
                </c:pt>
                <c:pt idx="260">
                  <c:v>5.1999999999999771</c:v>
                </c:pt>
                <c:pt idx="261">
                  <c:v>5.2199999999999767</c:v>
                </c:pt>
                <c:pt idx="262">
                  <c:v>5.2399999999999762</c:v>
                </c:pt>
                <c:pt idx="263">
                  <c:v>5.2599999999999758</c:v>
                </c:pt>
                <c:pt idx="264">
                  <c:v>5.2799999999999754</c:v>
                </c:pt>
                <c:pt idx="265">
                  <c:v>5.299999999999975</c:v>
                </c:pt>
                <c:pt idx="266">
                  <c:v>5.3199999999999745</c:v>
                </c:pt>
                <c:pt idx="267">
                  <c:v>5.3399999999999741</c:v>
                </c:pt>
                <c:pt idx="268">
                  <c:v>5.3599999999999737</c:v>
                </c:pt>
                <c:pt idx="269">
                  <c:v>5.3799999999999732</c:v>
                </c:pt>
                <c:pt idx="270">
                  <c:v>5.3999999999999728</c:v>
                </c:pt>
                <c:pt idx="271">
                  <c:v>5.4199999999999724</c:v>
                </c:pt>
                <c:pt idx="272">
                  <c:v>5.439999999999972</c:v>
                </c:pt>
                <c:pt idx="273">
                  <c:v>5.4599999999999715</c:v>
                </c:pt>
                <c:pt idx="274">
                  <c:v>5.4799999999999711</c:v>
                </c:pt>
                <c:pt idx="275">
                  <c:v>5.4999999999999707</c:v>
                </c:pt>
                <c:pt idx="276">
                  <c:v>5.5199999999999703</c:v>
                </c:pt>
                <c:pt idx="277">
                  <c:v>5.5399999999999698</c:v>
                </c:pt>
                <c:pt idx="278">
                  <c:v>5.5599999999999694</c:v>
                </c:pt>
                <c:pt idx="279">
                  <c:v>5.579999999999969</c:v>
                </c:pt>
                <c:pt idx="280">
                  <c:v>5.5999999999999686</c:v>
                </c:pt>
                <c:pt idx="281">
                  <c:v>5.6199999999999681</c:v>
                </c:pt>
                <c:pt idx="282">
                  <c:v>5.6399999999999677</c:v>
                </c:pt>
                <c:pt idx="283">
                  <c:v>5.6599999999999673</c:v>
                </c:pt>
                <c:pt idx="284">
                  <c:v>5.6799999999999669</c:v>
                </c:pt>
                <c:pt idx="285">
                  <c:v>5.6999999999999664</c:v>
                </c:pt>
                <c:pt idx="286">
                  <c:v>5.719999999999966</c:v>
                </c:pt>
                <c:pt idx="287">
                  <c:v>5.7399999999999656</c:v>
                </c:pt>
                <c:pt idx="288">
                  <c:v>5.7599999999999651</c:v>
                </c:pt>
                <c:pt idx="289">
                  <c:v>5.7799999999999647</c:v>
                </c:pt>
                <c:pt idx="290">
                  <c:v>5.7999999999999643</c:v>
                </c:pt>
                <c:pt idx="291">
                  <c:v>5.8199999999999639</c:v>
                </c:pt>
                <c:pt idx="292">
                  <c:v>5.8399999999999634</c:v>
                </c:pt>
                <c:pt idx="293">
                  <c:v>5.859999999999963</c:v>
                </c:pt>
                <c:pt idx="294">
                  <c:v>5.8799999999999626</c:v>
                </c:pt>
                <c:pt idx="295">
                  <c:v>5.8999999999999622</c:v>
                </c:pt>
                <c:pt idx="296">
                  <c:v>5.9199999999999617</c:v>
                </c:pt>
                <c:pt idx="297">
                  <c:v>5.9399999999999613</c:v>
                </c:pt>
                <c:pt idx="298">
                  <c:v>5.9599999999999609</c:v>
                </c:pt>
                <c:pt idx="299">
                  <c:v>5.9799999999999605</c:v>
                </c:pt>
                <c:pt idx="300">
                  <c:v>5.99999999999996</c:v>
                </c:pt>
                <c:pt idx="301">
                  <c:v>6.0199999999999596</c:v>
                </c:pt>
                <c:pt idx="302">
                  <c:v>6.0399999999999592</c:v>
                </c:pt>
                <c:pt idx="303">
                  <c:v>6.0599999999999588</c:v>
                </c:pt>
                <c:pt idx="304">
                  <c:v>6.0799999999999583</c:v>
                </c:pt>
                <c:pt idx="305">
                  <c:v>6.0999999999999579</c:v>
                </c:pt>
                <c:pt idx="306">
                  <c:v>6.1199999999999575</c:v>
                </c:pt>
                <c:pt idx="307">
                  <c:v>6.139999999999957</c:v>
                </c:pt>
                <c:pt idx="308">
                  <c:v>6.1599999999999566</c:v>
                </c:pt>
                <c:pt idx="309">
                  <c:v>6.1799999999999562</c:v>
                </c:pt>
                <c:pt idx="310">
                  <c:v>6.1999999999999558</c:v>
                </c:pt>
                <c:pt idx="311">
                  <c:v>6.2199999999999553</c:v>
                </c:pt>
                <c:pt idx="312">
                  <c:v>6.2399999999999549</c:v>
                </c:pt>
                <c:pt idx="313">
                  <c:v>6.2599999999999545</c:v>
                </c:pt>
                <c:pt idx="314">
                  <c:v>6.2799999999999541</c:v>
                </c:pt>
                <c:pt idx="315">
                  <c:v>6.2999999999999536</c:v>
                </c:pt>
                <c:pt idx="316">
                  <c:v>6.3199999999999532</c:v>
                </c:pt>
                <c:pt idx="317">
                  <c:v>6.3399999999999528</c:v>
                </c:pt>
                <c:pt idx="318">
                  <c:v>6.3599999999999524</c:v>
                </c:pt>
                <c:pt idx="319">
                  <c:v>6.3799999999999519</c:v>
                </c:pt>
                <c:pt idx="320">
                  <c:v>6.3999999999999515</c:v>
                </c:pt>
                <c:pt idx="321">
                  <c:v>6.4199999999999511</c:v>
                </c:pt>
                <c:pt idx="322">
                  <c:v>6.4399999999999507</c:v>
                </c:pt>
                <c:pt idx="323">
                  <c:v>6.4599999999999502</c:v>
                </c:pt>
                <c:pt idx="324">
                  <c:v>6.4799999999999498</c:v>
                </c:pt>
                <c:pt idx="325">
                  <c:v>6.4999999999999494</c:v>
                </c:pt>
                <c:pt idx="326">
                  <c:v>6.5199999999999489</c:v>
                </c:pt>
                <c:pt idx="327">
                  <c:v>6.5399999999999485</c:v>
                </c:pt>
                <c:pt idx="328">
                  <c:v>6.5599999999999481</c:v>
                </c:pt>
                <c:pt idx="329">
                  <c:v>6.5799999999999477</c:v>
                </c:pt>
                <c:pt idx="330">
                  <c:v>6.5999999999999472</c:v>
                </c:pt>
                <c:pt idx="331">
                  <c:v>6.6199999999999468</c:v>
                </c:pt>
                <c:pt idx="332">
                  <c:v>6.6399999999999464</c:v>
                </c:pt>
                <c:pt idx="333">
                  <c:v>6.659999999999946</c:v>
                </c:pt>
                <c:pt idx="334">
                  <c:v>6.6799999999999455</c:v>
                </c:pt>
                <c:pt idx="335">
                  <c:v>6.6999999999999451</c:v>
                </c:pt>
                <c:pt idx="336">
                  <c:v>6.7199999999999447</c:v>
                </c:pt>
                <c:pt idx="337">
                  <c:v>6.7399999999999443</c:v>
                </c:pt>
                <c:pt idx="338">
                  <c:v>6.7599999999999438</c:v>
                </c:pt>
                <c:pt idx="339">
                  <c:v>6.7799999999999434</c:v>
                </c:pt>
                <c:pt idx="340">
                  <c:v>6.799999999999943</c:v>
                </c:pt>
                <c:pt idx="341">
                  <c:v>6.8199999999999426</c:v>
                </c:pt>
                <c:pt idx="342">
                  <c:v>6.8399999999999421</c:v>
                </c:pt>
                <c:pt idx="343">
                  <c:v>6.8599999999999417</c:v>
                </c:pt>
                <c:pt idx="344">
                  <c:v>6.8799999999999413</c:v>
                </c:pt>
                <c:pt idx="345">
                  <c:v>6.8999999999999408</c:v>
                </c:pt>
                <c:pt idx="346">
                  <c:v>6.9199999999999404</c:v>
                </c:pt>
                <c:pt idx="347">
                  <c:v>6.93999999999994</c:v>
                </c:pt>
                <c:pt idx="348">
                  <c:v>6.9599999999999396</c:v>
                </c:pt>
                <c:pt idx="349">
                  <c:v>6.9799999999999391</c:v>
                </c:pt>
                <c:pt idx="350">
                  <c:v>6.9999999999999387</c:v>
                </c:pt>
                <c:pt idx="351">
                  <c:v>7.0199999999999383</c:v>
                </c:pt>
                <c:pt idx="352">
                  <c:v>7.0399999999999379</c:v>
                </c:pt>
                <c:pt idx="353">
                  <c:v>7.0599999999999374</c:v>
                </c:pt>
                <c:pt idx="354">
                  <c:v>7.079999999999937</c:v>
                </c:pt>
                <c:pt idx="355">
                  <c:v>7.0999999999999366</c:v>
                </c:pt>
                <c:pt idx="356">
                  <c:v>7.1199999999999362</c:v>
                </c:pt>
                <c:pt idx="357">
                  <c:v>7.1399999999999357</c:v>
                </c:pt>
                <c:pt idx="358">
                  <c:v>7.1599999999999353</c:v>
                </c:pt>
                <c:pt idx="359">
                  <c:v>7.1799999999999349</c:v>
                </c:pt>
                <c:pt idx="360">
                  <c:v>7.1999999999999345</c:v>
                </c:pt>
                <c:pt idx="361">
                  <c:v>7.219999999999934</c:v>
                </c:pt>
                <c:pt idx="362">
                  <c:v>7.2399999999999336</c:v>
                </c:pt>
                <c:pt idx="363">
                  <c:v>7.2599999999999332</c:v>
                </c:pt>
                <c:pt idx="364">
                  <c:v>7.2799999999999327</c:v>
                </c:pt>
                <c:pt idx="365">
                  <c:v>7.2999999999999323</c:v>
                </c:pt>
                <c:pt idx="366">
                  <c:v>7.3199999999999319</c:v>
                </c:pt>
                <c:pt idx="367">
                  <c:v>7.3399999999999315</c:v>
                </c:pt>
                <c:pt idx="368">
                  <c:v>7.359999999999931</c:v>
                </c:pt>
                <c:pt idx="369">
                  <c:v>7.3799999999999306</c:v>
                </c:pt>
                <c:pt idx="370">
                  <c:v>7.3999999999999302</c:v>
                </c:pt>
                <c:pt idx="371">
                  <c:v>7.4199999999999298</c:v>
                </c:pt>
                <c:pt idx="372">
                  <c:v>7.4399999999999293</c:v>
                </c:pt>
                <c:pt idx="373">
                  <c:v>7.4599999999999289</c:v>
                </c:pt>
                <c:pt idx="374">
                  <c:v>7.4799999999999285</c:v>
                </c:pt>
                <c:pt idx="375">
                  <c:v>7.4999999999999281</c:v>
                </c:pt>
                <c:pt idx="376">
                  <c:v>7.5199999999999276</c:v>
                </c:pt>
                <c:pt idx="377">
                  <c:v>7.5399999999999272</c:v>
                </c:pt>
                <c:pt idx="378">
                  <c:v>7.5599999999999268</c:v>
                </c:pt>
                <c:pt idx="379">
                  <c:v>7.5799999999999264</c:v>
                </c:pt>
                <c:pt idx="380">
                  <c:v>7.5999999999999259</c:v>
                </c:pt>
                <c:pt idx="381">
                  <c:v>7.6199999999999255</c:v>
                </c:pt>
                <c:pt idx="382">
                  <c:v>7.6399999999999251</c:v>
                </c:pt>
                <c:pt idx="383">
                  <c:v>7.6599999999999246</c:v>
                </c:pt>
                <c:pt idx="384">
                  <c:v>7.6799999999999242</c:v>
                </c:pt>
                <c:pt idx="385">
                  <c:v>7.6999999999999238</c:v>
                </c:pt>
                <c:pt idx="386">
                  <c:v>7.7199999999999234</c:v>
                </c:pt>
                <c:pt idx="387">
                  <c:v>7.7399999999999229</c:v>
                </c:pt>
                <c:pt idx="388">
                  <c:v>7.7599999999999225</c:v>
                </c:pt>
                <c:pt idx="389">
                  <c:v>7.7799999999999221</c:v>
                </c:pt>
                <c:pt idx="390">
                  <c:v>7.7999999999999217</c:v>
                </c:pt>
                <c:pt idx="391">
                  <c:v>7.8199999999999212</c:v>
                </c:pt>
                <c:pt idx="392">
                  <c:v>7.8399999999999208</c:v>
                </c:pt>
                <c:pt idx="393">
                  <c:v>7.8599999999999204</c:v>
                </c:pt>
                <c:pt idx="394">
                  <c:v>7.87999999999992</c:v>
                </c:pt>
                <c:pt idx="395">
                  <c:v>7.8999999999999195</c:v>
                </c:pt>
                <c:pt idx="396">
                  <c:v>7.9199999999999191</c:v>
                </c:pt>
                <c:pt idx="397">
                  <c:v>7.9399999999999187</c:v>
                </c:pt>
                <c:pt idx="398">
                  <c:v>7.9599999999999183</c:v>
                </c:pt>
                <c:pt idx="399">
                  <c:v>7.9799999999999178</c:v>
                </c:pt>
                <c:pt idx="400">
                  <c:v>7.9999999999999174</c:v>
                </c:pt>
                <c:pt idx="401">
                  <c:v>8.0199999999999179</c:v>
                </c:pt>
                <c:pt idx="402">
                  <c:v>8.0399999999999174</c:v>
                </c:pt>
                <c:pt idx="403">
                  <c:v>8.059999999999917</c:v>
                </c:pt>
                <c:pt idx="404">
                  <c:v>8.0799999999999166</c:v>
                </c:pt>
                <c:pt idx="405">
                  <c:v>8.0999999999999162</c:v>
                </c:pt>
                <c:pt idx="406">
                  <c:v>8.1199999999999157</c:v>
                </c:pt>
                <c:pt idx="407">
                  <c:v>8.1399999999999153</c:v>
                </c:pt>
                <c:pt idx="408">
                  <c:v>8.1599999999999149</c:v>
                </c:pt>
                <c:pt idx="409">
                  <c:v>8.1799999999999145</c:v>
                </c:pt>
                <c:pt idx="410">
                  <c:v>8.199999999999914</c:v>
                </c:pt>
                <c:pt idx="411">
                  <c:v>8.2199999999999136</c:v>
                </c:pt>
                <c:pt idx="412">
                  <c:v>8.2399999999999132</c:v>
                </c:pt>
                <c:pt idx="413">
                  <c:v>8.2599999999999127</c:v>
                </c:pt>
                <c:pt idx="414">
                  <c:v>8.2799999999999123</c:v>
                </c:pt>
                <c:pt idx="415">
                  <c:v>8.2999999999999119</c:v>
                </c:pt>
                <c:pt idx="416">
                  <c:v>8.3199999999999115</c:v>
                </c:pt>
                <c:pt idx="417">
                  <c:v>8.339999999999911</c:v>
                </c:pt>
                <c:pt idx="418">
                  <c:v>8.3599999999999106</c:v>
                </c:pt>
                <c:pt idx="419">
                  <c:v>8.3799999999999102</c:v>
                </c:pt>
                <c:pt idx="420">
                  <c:v>8.3999999999999098</c:v>
                </c:pt>
                <c:pt idx="421">
                  <c:v>8.4199999999999093</c:v>
                </c:pt>
                <c:pt idx="422">
                  <c:v>8.4399999999999089</c:v>
                </c:pt>
                <c:pt idx="423">
                  <c:v>8.4599999999999085</c:v>
                </c:pt>
                <c:pt idx="424">
                  <c:v>8.4799999999999081</c:v>
                </c:pt>
                <c:pt idx="425">
                  <c:v>8.4999999999999076</c:v>
                </c:pt>
                <c:pt idx="426">
                  <c:v>8.5199999999999072</c:v>
                </c:pt>
                <c:pt idx="427">
                  <c:v>8.5399999999999068</c:v>
                </c:pt>
                <c:pt idx="428">
                  <c:v>8.5599999999999064</c:v>
                </c:pt>
                <c:pt idx="429">
                  <c:v>8.5799999999999059</c:v>
                </c:pt>
                <c:pt idx="430">
                  <c:v>8.5999999999999055</c:v>
                </c:pt>
                <c:pt idx="431">
                  <c:v>8.6199999999999051</c:v>
                </c:pt>
                <c:pt idx="432">
                  <c:v>8.6399999999999046</c:v>
                </c:pt>
                <c:pt idx="433">
                  <c:v>8.6599999999999042</c:v>
                </c:pt>
                <c:pt idx="434">
                  <c:v>8.6799999999999038</c:v>
                </c:pt>
                <c:pt idx="435">
                  <c:v>8.6999999999999034</c:v>
                </c:pt>
                <c:pt idx="436">
                  <c:v>8.7199999999999029</c:v>
                </c:pt>
                <c:pt idx="437">
                  <c:v>8.7399999999999025</c:v>
                </c:pt>
                <c:pt idx="438">
                  <c:v>8.7599999999999021</c:v>
                </c:pt>
                <c:pt idx="439">
                  <c:v>8.7799999999999017</c:v>
                </c:pt>
                <c:pt idx="440">
                  <c:v>8.7999999999999012</c:v>
                </c:pt>
                <c:pt idx="441">
                  <c:v>8.8199999999999008</c:v>
                </c:pt>
                <c:pt idx="442">
                  <c:v>8.8399999999999004</c:v>
                </c:pt>
                <c:pt idx="443">
                  <c:v>8.8599999999999</c:v>
                </c:pt>
                <c:pt idx="444">
                  <c:v>8.8799999999998995</c:v>
                </c:pt>
                <c:pt idx="445">
                  <c:v>8.8999999999998991</c:v>
                </c:pt>
                <c:pt idx="446">
                  <c:v>8.9199999999998987</c:v>
                </c:pt>
                <c:pt idx="447">
                  <c:v>8.9399999999998983</c:v>
                </c:pt>
                <c:pt idx="448">
                  <c:v>8.9599999999998978</c:v>
                </c:pt>
                <c:pt idx="449">
                  <c:v>8.9799999999998974</c:v>
                </c:pt>
                <c:pt idx="450">
                  <c:v>8.999999999999897</c:v>
                </c:pt>
                <c:pt idx="451">
                  <c:v>9.0199999999998965</c:v>
                </c:pt>
                <c:pt idx="452">
                  <c:v>9.0399999999998961</c:v>
                </c:pt>
                <c:pt idx="453">
                  <c:v>9.0599999999998957</c:v>
                </c:pt>
                <c:pt idx="454">
                  <c:v>9.0799999999998953</c:v>
                </c:pt>
                <c:pt idx="455">
                  <c:v>9.0999999999998948</c:v>
                </c:pt>
                <c:pt idx="456">
                  <c:v>9.1199999999998944</c:v>
                </c:pt>
                <c:pt idx="457">
                  <c:v>9.139999999999894</c:v>
                </c:pt>
                <c:pt idx="458">
                  <c:v>9.1599999999998936</c:v>
                </c:pt>
                <c:pt idx="459">
                  <c:v>9.1799999999998931</c:v>
                </c:pt>
                <c:pt idx="460">
                  <c:v>9.1999999999998927</c:v>
                </c:pt>
                <c:pt idx="461">
                  <c:v>9.2199999999998923</c:v>
                </c:pt>
                <c:pt idx="462">
                  <c:v>9.2399999999998919</c:v>
                </c:pt>
                <c:pt idx="463">
                  <c:v>9.2599999999998914</c:v>
                </c:pt>
                <c:pt idx="464">
                  <c:v>9.279999999999891</c:v>
                </c:pt>
                <c:pt idx="465">
                  <c:v>9.2999999999998906</c:v>
                </c:pt>
                <c:pt idx="466">
                  <c:v>9.3199999999998902</c:v>
                </c:pt>
                <c:pt idx="467">
                  <c:v>9.3399999999998897</c:v>
                </c:pt>
                <c:pt idx="468">
                  <c:v>9.3599999999998893</c:v>
                </c:pt>
                <c:pt idx="469">
                  <c:v>9.3799999999998889</c:v>
                </c:pt>
                <c:pt idx="470">
                  <c:v>9.3999999999998884</c:v>
                </c:pt>
                <c:pt idx="471">
                  <c:v>9.419999999999888</c:v>
                </c:pt>
                <c:pt idx="472">
                  <c:v>9.4399999999998876</c:v>
                </c:pt>
                <c:pt idx="473">
                  <c:v>9.4599999999998872</c:v>
                </c:pt>
                <c:pt idx="474">
                  <c:v>9.4799999999998867</c:v>
                </c:pt>
                <c:pt idx="475">
                  <c:v>9.4999999999998863</c:v>
                </c:pt>
                <c:pt idx="476">
                  <c:v>9.5199999999998859</c:v>
                </c:pt>
                <c:pt idx="477">
                  <c:v>9.5399999999998855</c:v>
                </c:pt>
                <c:pt idx="478">
                  <c:v>9.559999999999885</c:v>
                </c:pt>
                <c:pt idx="479">
                  <c:v>9.5799999999998846</c:v>
                </c:pt>
                <c:pt idx="480">
                  <c:v>9.5999999999998842</c:v>
                </c:pt>
                <c:pt idx="481">
                  <c:v>9.6199999999998838</c:v>
                </c:pt>
                <c:pt idx="482">
                  <c:v>9.6399999999998833</c:v>
                </c:pt>
                <c:pt idx="483">
                  <c:v>9.6599999999998829</c:v>
                </c:pt>
                <c:pt idx="484">
                  <c:v>9.6799999999998825</c:v>
                </c:pt>
                <c:pt idx="485">
                  <c:v>9.699999999999882</c:v>
                </c:pt>
                <c:pt idx="486">
                  <c:v>9.7199999999998816</c:v>
                </c:pt>
                <c:pt idx="487">
                  <c:v>9.7399999999998812</c:v>
                </c:pt>
                <c:pt idx="488">
                  <c:v>9.7599999999998808</c:v>
                </c:pt>
                <c:pt idx="489">
                  <c:v>9.7799999999998803</c:v>
                </c:pt>
                <c:pt idx="490">
                  <c:v>9.7999999999998799</c:v>
                </c:pt>
                <c:pt idx="491">
                  <c:v>9.8199999999998795</c:v>
                </c:pt>
                <c:pt idx="492">
                  <c:v>9.8399999999998791</c:v>
                </c:pt>
                <c:pt idx="493">
                  <c:v>9.8599999999998786</c:v>
                </c:pt>
                <c:pt idx="494">
                  <c:v>9.8799999999998782</c:v>
                </c:pt>
                <c:pt idx="495">
                  <c:v>9.8999999999998778</c:v>
                </c:pt>
                <c:pt idx="496">
                  <c:v>9.9199999999998774</c:v>
                </c:pt>
                <c:pt idx="497">
                  <c:v>9.9399999999998769</c:v>
                </c:pt>
                <c:pt idx="498">
                  <c:v>9.9599999999998765</c:v>
                </c:pt>
                <c:pt idx="499">
                  <c:v>9.9799999999998761</c:v>
                </c:pt>
                <c:pt idx="500">
                  <c:v>9.9999999999998757</c:v>
                </c:pt>
                <c:pt idx="501">
                  <c:v>10.019999999999875</c:v>
                </c:pt>
                <c:pt idx="502">
                  <c:v>10.039999999999875</c:v>
                </c:pt>
                <c:pt idx="503">
                  <c:v>10.059999999999874</c:v>
                </c:pt>
                <c:pt idx="504">
                  <c:v>10.079999999999874</c:v>
                </c:pt>
                <c:pt idx="505">
                  <c:v>10.099999999999874</c:v>
                </c:pt>
                <c:pt idx="506">
                  <c:v>10.119999999999873</c:v>
                </c:pt>
                <c:pt idx="507">
                  <c:v>10.139999999999873</c:v>
                </c:pt>
                <c:pt idx="508">
                  <c:v>10.159999999999872</c:v>
                </c:pt>
                <c:pt idx="509">
                  <c:v>10.179999999999872</c:v>
                </c:pt>
                <c:pt idx="510">
                  <c:v>10.199999999999871</c:v>
                </c:pt>
                <c:pt idx="511">
                  <c:v>10.219999999999871</c:v>
                </c:pt>
                <c:pt idx="512">
                  <c:v>10.239999999999871</c:v>
                </c:pt>
                <c:pt idx="513">
                  <c:v>10.25999999999987</c:v>
                </c:pt>
                <c:pt idx="514">
                  <c:v>10.27999999999987</c:v>
                </c:pt>
                <c:pt idx="515">
                  <c:v>10.299999999999869</c:v>
                </c:pt>
                <c:pt idx="516">
                  <c:v>10.319999999999869</c:v>
                </c:pt>
                <c:pt idx="517">
                  <c:v>10.339999999999868</c:v>
                </c:pt>
                <c:pt idx="518">
                  <c:v>10.359999999999868</c:v>
                </c:pt>
                <c:pt idx="519">
                  <c:v>10.379999999999868</c:v>
                </c:pt>
                <c:pt idx="520">
                  <c:v>10.399999999999867</c:v>
                </c:pt>
                <c:pt idx="521">
                  <c:v>10.419999999999867</c:v>
                </c:pt>
                <c:pt idx="522">
                  <c:v>10.439999999999866</c:v>
                </c:pt>
                <c:pt idx="523">
                  <c:v>10.459999999999866</c:v>
                </c:pt>
                <c:pt idx="524">
                  <c:v>10.479999999999865</c:v>
                </c:pt>
                <c:pt idx="525">
                  <c:v>10.499999999999865</c:v>
                </c:pt>
                <c:pt idx="526">
                  <c:v>10.519999999999865</c:v>
                </c:pt>
                <c:pt idx="527">
                  <c:v>10.539999999999864</c:v>
                </c:pt>
                <c:pt idx="528">
                  <c:v>10.559999999999864</c:v>
                </c:pt>
                <c:pt idx="529">
                  <c:v>10.579999999999863</c:v>
                </c:pt>
                <c:pt idx="530">
                  <c:v>10.599999999999863</c:v>
                </c:pt>
                <c:pt idx="531">
                  <c:v>10.619999999999862</c:v>
                </c:pt>
                <c:pt idx="532">
                  <c:v>10.639999999999862</c:v>
                </c:pt>
                <c:pt idx="533">
                  <c:v>10.659999999999862</c:v>
                </c:pt>
                <c:pt idx="534">
                  <c:v>10.679999999999861</c:v>
                </c:pt>
                <c:pt idx="535">
                  <c:v>10.699999999999861</c:v>
                </c:pt>
                <c:pt idx="536">
                  <c:v>10.71999999999986</c:v>
                </c:pt>
                <c:pt idx="537">
                  <c:v>10.73999999999986</c:v>
                </c:pt>
                <c:pt idx="538">
                  <c:v>10.759999999999859</c:v>
                </c:pt>
                <c:pt idx="539">
                  <c:v>10.779999999999859</c:v>
                </c:pt>
                <c:pt idx="540">
                  <c:v>10.799999999999859</c:v>
                </c:pt>
                <c:pt idx="541">
                  <c:v>10.819999999999858</c:v>
                </c:pt>
                <c:pt idx="542">
                  <c:v>10.839999999999858</c:v>
                </c:pt>
                <c:pt idx="543">
                  <c:v>10.859999999999857</c:v>
                </c:pt>
                <c:pt idx="544">
                  <c:v>10.879999999999857</c:v>
                </c:pt>
                <c:pt idx="545">
                  <c:v>10.899999999999856</c:v>
                </c:pt>
                <c:pt idx="546">
                  <c:v>10.919999999999856</c:v>
                </c:pt>
                <c:pt idx="547">
                  <c:v>10.939999999999856</c:v>
                </c:pt>
                <c:pt idx="548">
                  <c:v>10.959999999999855</c:v>
                </c:pt>
                <c:pt idx="549">
                  <c:v>10.979999999999855</c:v>
                </c:pt>
                <c:pt idx="550">
                  <c:v>10.999999999999854</c:v>
                </c:pt>
                <c:pt idx="551">
                  <c:v>11.019999999999854</c:v>
                </c:pt>
                <c:pt idx="552">
                  <c:v>11.039999999999853</c:v>
                </c:pt>
                <c:pt idx="553">
                  <c:v>11.059999999999853</c:v>
                </c:pt>
                <c:pt idx="554">
                  <c:v>11.079999999999853</c:v>
                </c:pt>
                <c:pt idx="555">
                  <c:v>11.099999999999852</c:v>
                </c:pt>
                <c:pt idx="556">
                  <c:v>11.119999999999852</c:v>
                </c:pt>
                <c:pt idx="557">
                  <c:v>11.139999999999851</c:v>
                </c:pt>
                <c:pt idx="558">
                  <c:v>11.159999999999851</c:v>
                </c:pt>
                <c:pt idx="559">
                  <c:v>11.179999999999851</c:v>
                </c:pt>
                <c:pt idx="560">
                  <c:v>11.19999999999985</c:v>
                </c:pt>
                <c:pt idx="561">
                  <c:v>11.21999999999985</c:v>
                </c:pt>
                <c:pt idx="562">
                  <c:v>11.239999999999849</c:v>
                </c:pt>
                <c:pt idx="563">
                  <c:v>11.259999999999849</c:v>
                </c:pt>
                <c:pt idx="564">
                  <c:v>11.279999999999848</c:v>
                </c:pt>
                <c:pt idx="565">
                  <c:v>11.299999999999848</c:v>
                </c:pt>
                <c:pt idx="566">
                  <c:v>11.319999999999848</c:v>
                </c:pt>
                <c:pt idx="567">
                  <c:v>11.339999999999847</c:v>
                </c:pt>
                <c:pt idx="568">
                  <c:v>11.359999999999847</c:v>
                </c:pt>
                <c:pt idx="569">
                  <c:v>11.379999999999846</c:v>
                </c:pt>
                <c:pt idx="570">
                  <c:v>11.399999999999846</c:v>
                </c:pt>
                <c:pt idx="571">
                  <c:v>11.419999999999845</c:v>
                </c:pt>
                <c:pt idx="572">
                  <c:v>11.439999999999845</c:v>
                </c:pt>
                <c:pt idx="573">
                  <c:v>11.459999999999845</c:v>
                </c:pt>
                <c:pt idx="574">
                  <c:v>11.479999999999844</c:v>
                </c:pt>
                <c:pt idx="575">
                  <c:v>11.499999999999844</c:v>
                </c:pt>
                <c:pt idx="576">
                  <c:v>11.519999999999843</c:v>
                </c:pt>
                <c:pt idx="577">
                  <c:v>11.539999999999843</c:v>
                </c:pt>
                <c:pt idx="578">
                  <c:v>11.559999999999842</c:v>
                </c:pt>
                <c:pt idx="579">
                  <c:v>11.579999999999842</c:v>
                </c:pt>
                <c:pt idx="580">
                  <c:v>11.599999999999842</c:v>
                </c:pt>
                <c:pt idx="581">
                  <c:v>11.619999999999841</c:v>
                </c:pt>
                <c:pt idx="582">
                  <c:v>11.639999999999841</c:v>
                </c:pt>
                <c:pt idx="583">
                  <c:v>11.65999999999984</c:v>
                </c:pt>
                <c:pt idx="584">
                  <c:v>11.67999999999984</c:v>
                </c:pt>
                <c:pt idx="585">
                  <c:v>11.699999999999839</c:v>
                </c:pt>
                <c:pt idx="586">
                  <c:v>11.719999999999839</c:v>
                </c:pt>
                <c:pt idx="587">
                  <c:v>11.739999999999839</c:v>
                </c:pt>
                <c:pt idx="588">
                  <c:v>11.759999999999838</c:v>
                </c:pt>
                <c:pt idx="589">
                  <c:v>11.779999999999838</c:v>
                </c:pt>
                <c:pt idx="590">
                  <c:v>11.799999999999837</c:v>
                </c:pt>
                <c:pt idx="591">
                  <c:v>11.819999999999837</c:v>
                </c:pt>
                <c:pt idx="592">
                  <c:v>11.839999999999836</c:v>
                </c:pt>
                <c:pt idx="593">
                  <c:v>11.859999999999836</c:v>
                </c:pt>
                <c:pt idx="594">
                  <c:v>11.879999999999836</c:v>
                </c:pt>
                <c:pt idx="595">
                  <c:v>11.899999999999835</c:v>
                </c:pt>
                <c:pt idx="596">
                  <c:v>11.919999999999835</c:v>
                </c:pt>
                <c:pt idx="597">
                  <c:v>11.939999999999834</c:v>
                </c:pt>
                <c:pt idx="598">
                  <c:v>11.959999999999834</c:v>
                </c:pt>
                <c:pt idx="599">
                  <c:v>11.979999999999833</c:v>
                </c:pt>
                <c:pt idx="600">
                  <c:v>11.999999999999833</c:v>
                </c:pt>
                <c:pt idx="601">
                  <c:v>12.019999999999833</c:v>
                </c:pt>
                <c:pt idx="602">
                  <c:v>12.039999999999832</c:v>
                </c:pt>
                <c:pt idx="603">
                  <c:v>12.059999999999832</c:v>
                </c:pt>
                <c:pt idx="604">
                  <c:v>12.079999999999831</c:v>
                </c:pt>
                <c:pt idx="605">
                  <c:v>12.099999999999831</c:v>
                </c:pt>
                <c:pt idx="606">
                  <c:v>12.11999999999983</c:v>
                </c:pt>
                <c:pt idx="607">
                  <c:v>12.13999999999983</c:v>
                </c:pt>
                <c:pt idx="608">
                  <c:v>12.15999999999983</c:v>
                </c:pt>
                <c:pt idx="609">
                  <c:v>12.179999999999829</c:v>
                </c:pt>
                <c:pt idx="610">
                  <c:v>12.199999999999829</c:v>
                </c:pt>
                <c:pt idx="611">
                  <c:v>12.219999999999828</c:v>
                </c:pt>
                <c:pt idx="612">
                  <c:v>12.239999999999828</c:v>
                </c:pt>
                <c:pt idx="613">
                  <c:v>12.259999999999827</c:v>
                </c:pt>
                <c:pt idx="614">
                  <c:v>12.279999999999827</c:v>
                </c:pt>
                <c:pt idx="615">
                  <c:v>12.299999999999827</c:v>
                </c:pt>
                <c:pt idx="616">
                  <c:v>12.319999999999826</c:v>
                </c:pt>
                <c:pt idx="617">
                  <c:v>12.339999999999826</c:v>
                </c:pt>
                <c:pt idx="618">
                  <c:v>12.359999999999825</c:v>
                </c:pt>
                <c:pt idx="619">
                  <c:v>12.379999999999825</c:v>
                </c:pt>
                <c:pt idx="620">
                  <c:v>12.399999999999824</c:v>
                </c:pt>
                <c:pt idx="621">
                  <c:v>12.419999999999824</c:v>
                </c:pt>
                <c:pt idx="622">
                  <c:v>12.439999999999824</c:v>
                </c:pt>
                <c:pt idx="623">
                  <c:v>12.459999999999823</c:v>
                </c:pt>
                <c:pt idx="624">
                  <c:v>12.479999999999823</c:v>
                </c:pt>
                <c:pt idx="625">
                  <c:v>12.499999999999822</c:v>
                </c:pt>
                <c:pt idx="626">
                  <c:v>12.519999999999822</c:v>
                </c:pt>
                <c:pt idx="627">
                  <c:v>12.539999999999822</c:v>
                </c:pt>
                <c:pt idx="628">
                  <c:v>12.559999999999821</c:v>
                </c:pt>
                <c:pt idx="629">
                  <c:v>12.579999999999821</c:v>
                </c:pt>
                <c:pt idx="630">
                  <c:v>12.59999999999982</c:v>
                </c:pt>
                <c:pt idx="631">
                  <c:v>12.61999999999982</c:v>
                </c:pt>
                <c:pt idx="632">
                  <c:v>12.639999999999819</c:v>
                </c:pt>
                <c:pt idx="633">
                  <c:v>12.659999999999819</c:v>
                </c:pt>
                <c:pt idx="634">
                  <c:v>12.679999999999819</c:v>
                </c:pt>
                <c:pt idx="635">
                  <c:v>12.699999999999818</c:v>
                </c:pt>
                <c:pt idx="636">
                  <c:v>12.719999999999818</c:v>
                </c:pt>
                <c:pt idx="637">
                  <c:v>12.739999999999817</c:v>
                </c:pt>
                <c:pt idx="638">
                  <c:v>12.759999999999817</c:v>
                </c:pt>
                <c:pt idx="639">
                  <c:v>12.779999999999816</c:v>
                </c:pt>
                <c:pt idx="640">
                  <c:v>12.799999999999816</c:v>
                </c:pt>
                <c:pt idx="641">
                  <c:v>12.819999999999816</c:v>
                </c:pt>
                <c:pt idx="642">
                  <c:v>12.839999999999815</c:v>
                </c:pt>
                <c:pt idx="643">
                  <c:v>12.859999999999815</c:v>
                </c:pt>
                <c:pt idx="644">
                  <c:v>12.879999999999814</c:v>
                </c:pt>
                <c:pt idx="645">
                  <c:v>12.899999999999814</c:v>
                </c:pt>
                <c:pt idx="646">
                  <c:v>12.919999999999813</c:v>
                </c:pt>
                <c:pt idx="647">
                  <c:v>12.939999999999813</c:v>
                </c:pt>
                <c:pt idx="648">
                  <c:v>12.959999999999813</c:v>
                </c:pt>
                <c:pt idx="649">
                  <c:v>12.979999999999812</c:v>
                </c:pt>
                <c:pt idx="650">
                  <c:v>12.999999999999812</c:v>
                </c:pt>
                <c:pt idx="651">
                  <c:v>13.019999999999811</c:v>
                </c:pt>
                <c:pt idx="652">
                  <c:v>13.039999999999811</c:v>
                </c:pt>
                <c:pt idx="653">
                  <c:v>13.05999999999981</c:v>
                </c:pt>
                <c:pt idx="654">
                  <c:v>13.07999999999981</c:v>
                </c:pt>
                <c:pt idx="655">
                  <c:v>13.09999999999981</c:v>
                </c:pt>
                <c:pt idx="656">
                  <c:v>13.119999999999809</c:v>
                </c:pt>
                <c:pt idx="657">
                  <c:v>13.139999999999809</c:v>
                </c:pt>
                <c:pt idx="658">
                  <c:v>13.159999999999808</c:v>
                </c:pt>
                <c:pt idx="659">
                  <c:v>13.179999999999808</c:v>
                </c:pt>
                <c:pt idx="660">
                  <c:v>13.199999999999807</c:v>
                </c:pt>
                <c:pt idx="661">
                  <c:v>13.219999999999807</c:v>
                </c:pt>
                <c:pt idx="662">
                  <c:v>13.239999999999807</c:v>
                </c:pt>
                <c:pt idx="663">
                  <c:v>13.259999999999806</c:v>
                </c:pt>
                <c:pt idx="664">
                  <c:v>13.279999999999806</c:v>
                </c:pt>
                <c:pt idx="665">
                  <c:v>13.299999999999805</c:v>
                </c:pt>
                <c:pt idx="666">
                  <c:v>13.319999999999805</c:v>
                </c:pt>
                <c:pt idx="667">
                  <c:v>13.339999999999804</c:v>
                </c:pt>
                <c:pt idx="668">
                  <c:v>13.359999999999804</c:v>
                </c:pt>
                <c:pt idx="669">
                  <c:v>13.379999999999804</c:v>
                </c:pt>
                <c:pt idx="670">
                  <c:v>13.399999999999803</c:v>
                </c:pt>
                <c:pt idx="671">
                  <c:v>13.419999999999803</c:v>
                </c:pt>
                <c:pt idx="672">
                  <c:v>13.439999999999802</c:v>
                </c:pt>
                <c:pt idx="673">
                  <c:v>13.459999999999802</c:v>
                </c:pt>
                <c:pt idx="674">
                  <c:v>13.479999999999801</c:v>
                </c:pt>
                <c:pt idx="675">
                  <c:v>13.499999999999801</c:v>
                </c:pt>
                <c:pt idx="676">
                  <c:v>13.519999999999801</c:v>
                </c:pt>
                <c:pt idx="677">
                  <c:v>13.5399999999998</c:v>
                </c:pt>
                <c:pt idx="678">
                  <c:v>13.5599999999998</c:v>
                </c:pt>
                <c:pt idx="679">
                  <c:v>13.579999999999799</c:v>
                </c:pt>
                <c:pt idx="680">
                  <c:v>13.599999999999799</c:v>
                </c:pt>
                <c:pt idx="681">
                  <c:v>13.619999999999798</c:v>
                </c:pt>
                <c:pt idx="682">
                  <c:v>13.639999999999798</c:v>
                </c:pt>
                <c:pt idx="683">
                  <c:v>13.659999999999798</c:v>
                </c:pt>
                <c:pt idx="684">
                  <c:v>13.679999999999797</c:v>
                </c:pt>
                <c:pt idx="685">
                  <c:v>13.699999999999797</c:v>
                </c:pt>
                <c:pt idx="686">
                  <c:v>13.719999999999796</c:v>
                </c:pt>
                <c:pt idx="687">
                  <c:v>13.739999999999796</c:v>
                </c:pt>
                <c:pt idx="688">
                  <c:v>13.759999999999796</c:v>
                </c:pt>
                <c:pt idx="689">
                  <c:v>13.779999999999795</c:v>
                </c:pt>
                <c:pt idx="690">
                  <c:v>13.799999999999795</c:v>
                </c:pt>
                <c:pt idx="691">
                  <c:v>13.819999999999794</c:v>
                </c:pt>
                <c:pt idx="692">
                  <c:v>13.839999999999794</c:v>
                </c:pt>
                <c:pt idx="693">
                  <c:v>13.859999999999793</c:v>
                </c:pt>
                <c:pt idx="694">
                  <c:v>13.879999999999793</c:v>
                </c:pt>
                <c:pt idx="695">
                  <c:v>13.899999999999793</c:v>
                </c:pt>
                <c:pt idx="696">
                  <c:v>13.919999999999792</c:v>
                </c:pt>
                <c:pt idx="697">
                  <c:v>13.939999999999792</c:v>
                </c:pt>
                <c:pt idx="698">
                  <c:v>13.959999999999791</c:v>
                </c:pt>
                <c:pt idx="699">
                  <c:v>13.979999999999791</c:v>
                </c:pt>
                <c:pt idx="700">
                  <c:v>13.99999999999979</c:v>
                </c:pt>
                <c:pt idx="701">
                  <c:v>14.01999999999979</c:v>
                </c:pt>
                <c:pt idx="702">
                  <c:v>14.03999999999979</c:v>
                </c:pt>
                <c:pt idx="703">
                  <c:v>14.059999999999789</c:v>
                </c:pt>
                <c:pt idx="704">
                  <c:v>14.079999999999789</c:v>
                </c:pt>
                <c:pt idx="705">
                  <c:v>14.099999999999788</c:v>
                </c:pt>
                <c:pt idx="706">
                  <c:v>14.119999999999788</c:v>
                </c:pt>
                <c:pt idx="707">
                  <c:v>14.139999999999787</c:v>
                </c:pt>
                <c:pt idx="708">
                  <c:v>14.159999999999787</c:v>
                </c:pt>
                <c:pt idx="709">
                  <c:v>14.179999999999787</c:v>
                </c:pt>
                <c:pt idx="710">
                  <c:v>14.199999999999786</c:v>
                </c:pt>
                <c:pt idx="711">
                  <c:v>14.219999999999786</c:v>
                </c:pt>
              </c:numCache>
            </c:numRef>
          </c:xVal>
          <c:yVal>
            <c:numRef>
              <c:f>Function!$D$20:$D$731</c:f>
              <c:numCache>
                <c:formatCode>General</c:formatCode>
                <c:ptCount val="712"/>
                <c:pt idx="0">
                  <c:v>0</c:v>
                </c:pt>
                <c:pt idx="1">
                  <c:v>0</c:v>
                </c:pt>
                <c:pt idx="2">
                  <c:v>0.12</c:v>
                </c:pt>
                <c:pt idx="3">
                  <c:v>0.36</c:v>
                </c:pt>
                <c:pt idx="4">
                  <c:v>0.72</c:v>
                </c:pt>
                <c:pt idx="5">
                  <c:v>1.2</c:v>
                </c:pt>
                <c:pt idx="6">
                  <c:v>1.7999999999999998</c:v>
                </c:pt>
                <c:pt idx="7">
                  <c:v>2.5199999999999996</c:v>
                </c:pt>
                <c:pt idx="8">
                  <c:v>3.2649999999999997</c:v>
                </c:pt>
                <c:pt idx="9">
                  <c:v>4.01</c:v>
                </c:pt>
                <c:pt idx="10">
                  <c:v>4.7549999999999999</c:v>
                </c:pt>
                <c:pt idx="11">
                  <c:v>5.5</c:v>
                </c:pt>
                <c:pt idx="12">
                  <c:v>6.2450000000000001</c:v>
                </c:pt>
                <c:pt idx="13">
                  <c:v>6.99</c:v>
                </c:pt>
                <c:pt idx="14">
                  <c:v>7.7350000000000003</c:v>
                </c:pt>
                <c:pt idx="15">
                  <c:v>8.48</c:v>
                </c:pt>
                <c:pt idx="16">
                  <c:v>9.2249999999999996</c:v>
                </c:pt>
                <c:pt idx="17">
                  <c:v>9.9699999999999989</c:v>
                </c:pt>
                <c:pt idx="18">
                  <c:v>10.714999999999998</c:v>
                </c:pt>
                <c:pt idx="19">
                  <c:v>11.459999999999997</c:v>
                </c:pt>
                <c:pt idx="20">
                  <c:v>12.204999999999997</c:v>
                </c:pt>
                <c:pt idx="21">
                  <c:v>12.949999999999996</c:v>
                </c:pt>
                <c:pt idx="22">
                  <c:v>13.694999999999995</c:v>
                </c:pt>
                <c:pt idx="23">
                  <c:v>14.439999999999994</c:v>
                </c:pt>
                <c:pt idx="24">
                  <c:v>15.184999999999993</c:v>
                </c:pt>
                <c:pt idx="25">
                  <c:v>15.809999999999993</c:v>
                </c:pt>
                <c:pt idx="26">
                  <c:v>16.314999999999994</c:v>
                </c:pt>
                <c:pt idx="27">
                  <c:v>16.699999999999996</c:v>
                </c:pt>
                <c:pt idx="28">
                  <c:v>16.964999999999996</c:v>
                </c:pt>
                <c:pt idx="29">
                  <c:v>17.109999999999996</c:v>
                </c:pt>
                <c:pt idx="30">
                  <c:v>17.134999999999994</c:v>
                </c:pt>
                <c:pt idx="31">
                  <c:v>17.134999999999994</c:v>
                </c:pt>
                <c:pt idx="32">
                  <c:v>17.134999999999994</c:v>
                </c:pt>
                <c:pt idx="33">
                  <c:v>17.134999999999994</c:v>
                </c:pt>
                <c:pt idx="34">
                  <c:v>17.134999999999994</c:v>
                </c:pt>
                <c:pt idx="35">
                  <c:v>17.134999999999994</c:v>
                </c:pt>
                <c:pt idx="36">
                  <c:v>17.134999999999994</c:v>
                </c:pt>
                <c:pt idx="37">
                  <c:v>17.134999999999994</c:v>
                </c:pt>
                <c:pt idx="38">
                  <c:v>17.134999999999994</c:v>
                </c:pt>
                <c:pt idx="39">
                  <c:v>17.134999999999994</c:v>
                </c:pt>
                <c:pt idx="40">
                  <c:v>17.134999999999994</c:v>
                </c:pt>
                <c:pt idx="41">
                  <c:v>17.134999999999994</c:v>
                </c:pt>
                <c:pt idx="42">
                  <c:v>17.134999999999994</c:v>
                </c:pt>
                <c:pt idx="43">
                  <c:v>17.134999999999994</c:v>
                </c:pt>
                <c:pt idx="44">
                  <c:v>17.134999999999994</c:v>
                </c:pt>
                <c:pt idx="45">
                  <c:v>17.134999999999994</c:v>
                </c:pt>
                <c:pt idx="46">
                  <c:v>17.134999999999994</c:v>
                </c:pt>
                <c:pt idx="47">
                  <c:v>17.134999999999994</c:v>
                </c:pt>
                <c:pt idx="48">
                  <c:v>17.134999999999994</c:v>
                </c:pt>
                <c:pt idx="49">
                  <c:v>17.134999999999994</c:v>
                </c:pt>
                <c:pt idx="50">
                  <c:v>17.134999999999994</c:v>
                </c:pt>
                <c:pt idx="51">
                  <c:v>17.134999999999994</c:v>
                </c:pt>
                <c:pt idx="52">
                  <c:v>17.134999999999994</c:v>
                </c:pt>
                <c:pt idx="53">
                  <c:v>17.134999999999994</c:v>
                </c:pt>
                <c:pt idx="54">
                  <c:v>17.134999999999994</c:v>
                </c:pt>
                <c:pt idx="55">
                  <c:v>17.134999999999994</c:v>
                </c:pt>
                <c:pt idx="56">
                  <c:v>17.134999999999994</c:v>
                </c:pt>
                <c:pt idx="57">
                  <c:v>17.134999999999994</c:v>
                </c:pt>
                <c:pt idx="58">
                  <c:v>17.134999999999994</c:v>
                </c:pt>
                <c:pt idx="59">
                  <c:v>17.134999999999994</c:v>
                </c:pt>
                <c:pt idx="60">
                  <c:v>17.134999999999994</c:v>
                </c:pt>
                <c:pt idx="61">
                  <c:v>17.134999999999994</c:v>
                </c:pt>
                <c:pt idx="62">
                  <c:v>17.134999999999994</c:v>
                </c:pt>
                <c:pt idx="63">
                  <c:v>17.134999999999994</c:v>
                </c:pt>
                <c:pt idx="64">
                  <c:v>17.134999999999994</c:v>
                </c:pt>
                <c:pt idx="65">
                  <c:v>17.134999999999994</c:v>
                </c:pt>
                <c:pt idx="66">
                  <c:v>17.134999999999994</c:v>
                </c:pt>
                <c:pt idx="67">
                  <c:v>17.134999999999994</c:v>
                </c:pt>
                <c:pt idx="68">
                  <c:v>17.134999999999994</c:v>
                </c:pt>
                <c:pt idx="69">
                  <c:v>17.134999999999994</c:v>
                </c:pt>
                <c:pt idx="70">
                  <c:v>17.134999999999994</c:v>
                </c:pt>
                <c:pt idx="71">
                  <c:v>17.134999999999994</c:v>
                </c:pt>
                <c:pt idx="72">
                  <c:v>17.134999999999994</c:v>
                </c:pt>
                <c:pt idx="73">
                  <c:v>17.134999999999994</c:v>
                </c:pt>
                <c:pt idx="74">
                  <c:v>17.134999999999994</c:v>
                </c:pt>
                <c:pt idx="75">
                  <c:v>17.134999999999994</c:v>
                </c:pt>
                <c:pt idx="76">
                  <c:v>17.134999999999994</c:v>
                </c:pt>
                <c:pt idx="77">
                  <c:v>17.134999999999994</c:v>
                </c:pt>
                <c:pt idx="78">
                  <c:v>17.134999999999994</c:v>
                </c:pt>
                <c:pt idx="79">
                  <c:v>17.134999999999994</c:v>
                </c:pt>
                <c:pt idx="80">
                  <c:v>17.134999999999994</c:v>
                </c:pt>
                <c:pt idx="81">
                  <c:v>17.134999999999994</c:v>
                </c:pt>
                <c:pt idx="82">
                  <c:v>17.134999999999994</c:v>
                </c:pt>
                <c:pt idx="83">
                  <c:v>17.134999999999994</c:v>
                </c:pt>
                <c:pt idx="84">
                  <c:v>17.134999999999994</c:v>
                </c:pt>
                <c:pt idx="85">
                  <c:v>17.134999999999994</c:v>
                </c:pt>
                <c:pt idx="86">
                  <c:v>17.134999999999994</c:v>
                </c:pt>
                <c:pt idx="87">
                  <c:v>17.134999999999994</c:v>
                </c:pt>
                <c:pt idx="88">
                  <c:v>17.134999999999994</c:v>
                </c:pt>
                <c:pt idx="89">
                  <c:v>17.134999999999994</c:v>
                </c:pt>
                <c:pt idx="90">
                  <c:v>17.134999999999994</c:v>
                </c:pt>
                <c:pt idx="91">
                  <c:v>17.134999999999994</c:v>
                </c:pt>
                <c:pt idx="92">
                  <c:v>17.134999999999994</c:v>
                </c:pt>
                <c:pt idx="93">
                  <c:v>17.134999999999994</c:v>
                </c:pt>
                <c:pt idx="94">
                  <c:v>17.134999999999994</c:v>
                </c:pt>
                <c:pt idx="95">
                  <c:v>17.134999999999994</c:v>
                </c:pt>
                <c:pt idx="96">
                  <c:v>17.134999999999994</c:v>
                </c:pt>
                <c:pt idx="97">
                  <c:v>17.134999999999994</c:v>
                </c:pt>
                <c:pt idx="98">
                  <c:v>17.134999999999994</c:v>
                </c:pt>
                <c:pt idx="99">
                  <c:v>17.134999999999994</c:v>
                </c:pt>
                <c:pt idx="100">
                  <c:v>17.134999999999994</c:v>
                </c:pt>
                <c:pt idx="101">
                  <c:v>17.134999999999994</c:v>
                </c:pt>
                <c:pt idx="102">
                  <c:v>17.134999999999994</c:v>
                </c:pt>
                <c:pt idx="103">
                  <c:v>17.134999999999994</c:v>
                </c:pt>
                <c:pt idx="104">
                  <c:v>17.134999999999994</c:v>
                </c:pt>
                <c:pt idx="105">
                  <c:v>17.134999999999994</c:v>
                </c:pt>
                <c:pt idx="106">
                  <c:v>17.134999999999994</c:v>
                </c:pt>
                <c:pt idx="107">
                  <c:v>17.134999999999994</c:v>
                </c:pt>
                <c:pt idx="108">
                  <c:v>17.134999999999994</c:v>
                </c:pt>
                <c:pt idx="109">
                  <c:v>17.134999999999994</c:v>
                </c:pt>
                <c:pt idx="110">
                  <c:v>17.134999999999994</c:v>
                </c:pt>
                <c:pt idx="111">
                  <c:v>17.134999999999994</c:v>
                </c:pt>
                <c:pt idx="112">
                  <c:v>17.134999999999994</c:v>
                </c:pt>
                <c:pt idx="113">
                  <c:v>17.134999999999994</c:v>
                </c:pt>
                <c:pt idx="114">
                  <c:v>17.134999999999994</c:v>
                </c:pt>
                <c:pt idx="115">
                  <c:v>17.134999999999994</c:v>
                </c:pt>
                <c:pt idx="116">
                  <c:v>17.134999999999994</c:v>
                </c:pt>
                <c:pt idx="117">
                  <c:v>17.134999999999994</c:v>
                </c:pt>
                <c:pt idx="118">
                  <c:v>17.134999999999994</c:v>
                </c:pt>
                <c:pt idx="119">
                  <c:v>17.134999999999994</c:v>
                </c:pt>
                <c:pt idx="120">
                  <c:v>17.134999999999994</c:v>
                </c:pt>
                <c:pt idx="121">
                  <c:v>17.134999999999994</c:v>
                </c:pt>
                <c:pt idx="122">
                  <c:v>17.134999999999994</c:v>
                </c:pt>
                <c:pt idx="123">
                  <c:v>17.134999999999994</c:v>
                </c:pt>
                <c:pt idx="124">
                  <c:v>17.134999999999994</c:v>
                </c:pt>
                <c:pt idx="125">
                  <c:v>17.134999999999994</c:v>
                </c:pt>
                <c:pt idx="126">
                  <c:v>17.134999999999994</c:v>
                </c:pt>
                <c:pt idx="127">
                  <c:v>17.134999999999994</c:v>
                </c:pt>
                <c:pt idx="128">
                  <c:v>17.134999999999994</c:v>
                </c:pt>
                <c:pt idx="129">
                  <c:v>17.134999999999994</c:v>
                </c:pt>
                <c:pt idx="130">
                  <c:v>17.134999999999994</c:v>
                </c:pt>
                <c:pt idx="131">
                  <c:v>17.134999999999994</c:v>
                </c:pt>
                <c:pt idx="132">
                  <c:v>17.134999999999994</c:v>
                </c:pt>
                <c:pt idx="133">
                  <c:v>17.134999999999994</c:v>
                </c:pt>
                <c:pt idx="134">
                  <c:v>17.134999999999994</c:v>
                </c:pt>
                <c:pt idx="135">
                  <c:v>17.134999999999994</c:v>
                </c:pt>
                <c:pt idx="136">
                  <c:v>17.134999999999994</c:v>
                </c:pt>
                <c:pt idx="137">
                  <c:v>17.134999999999994</c:v>
                </c:pt>
                <c:pt idx="138">
                  <c:v>17.134999999999994</c:v>
                </c:pt>
                <c:pt idx="139">
                  <c:v>17.134999999999994</c:v>
                </c:pt>
                <c:pt idx="140">
                  <c:v>17.134999999999994</c:v>
                </c:pt>
                <c:pt idx="141">
                  <c:v>17.134999999999994</c:v>
                </c:pt>
                <c:pt idx="142">
                  <c:v>17.134999999999994</c:v>
                </c:pt>
                <c:pt idx="143">
                  <c:v>17.134999999999994</c:v>
                </c:pt>
                <c:pt idx="144">
                  <c:v>17.134999999999994</c:v>
                </c:pt>
                <c:pt idx="145">
                  <c:v>17.134999999999994</c:v>
                </c:pt>
                <c:pt idx="146">
                  <c:v>17.134999999999994</c:v>
                </c:pt>
                <c:pt idx="147">
                  <c:v>17.134999999999994</c:v>
                </c:pt>
                <c:pt idx="148">
                  <c:v>17.134999999999994</c:v>
                </c:pt>
                <c:pt idx="149">
                  <c:v>17.134999999999994</c:v>
                </c:pt>
                <c:pt idx="150">
                  <c:v>17.134999999999994</c:v>
                </c:pt>
                <c:pt idx="151">
                  <c:v>17.134999999999994</c:v>
                </c:pt>
                <c:pt idx="152">
                  <c:v>17.134999999999994</c:v>
                </c:pt>
                <c:pt idx="153">
                  <c:v>17.134999999999994</c:v>
                </c:pt>
                <c:pt idx="154">
                  <c:v>17.134999999999994</c:v>
                </c:pt>
                <c:pt idx="155">
                  <c:v>17.134999999999994</c:v>
                </c:pt>
                <c:pt idx="156">
                  <c:v>17.134999999999994</c:v>
                </c:pt>
                <c:pt idx="157">
                  <c:v>17.134999999999994</c:v>
                </c:pt>
                <c:pt idx="158">
                  <c:v>17.134999999999994</c:v>
                </c:pt>
                <c:pt idx="159">
                  <c:v>17.134999999999994</c:v>
                </c:pt>
                <c:pt idx="160">
                  <c:v>17.134999999999994</c:v>
                </c:pt>
                <c:pt idx="161">
                  <c:v>17.134999999999994</c:v>
                </c:pt>
                <c:pt idx="162">
                  <c:v>17.134999999999994</c:v>
                </c:pt>
                <c:pt idx="163">
                  <c:v>17.134999999999994</c:v>
                </c:pt>
                <c:pt idx="164">
                  <c:v>17.134999999999994</c:v>
                </c:pt>
                <c:pt idx="165">
                  <c:v>17.134999999999994</c:v>
                </c:pt>
                <c:pt idx="166">
                  <c:v>17.134999999999994</c:v>
                </c:pt>
                <c:pt idx="167">
                  <c:v>17.134999999999994</c:v>
                </c:pt>
                <c:pt idx="168">
                  <c:v>17.134999999999994</c:v>
                </c:pt>
                <c:pt idx="169">
                  <c:v>17.134999999999994</c:v>
                </c:pt>
                <c:pt idx="170">
                  <c:v>17.134999999999994</c:v>
                </c:pt>
                <c:pt idx="171">
                  <c:v>17.134999999999994</c:v>
                </c:pt>
                <c:pt idx="172">
                  <c:v>17.134999999999994</c:v>
                </c:pt>
                <c:pt idx="173">
                  <c:v>17.134999999999994</c:v>
                </c:pt>
                <c:pt idx="174">
                  <c:v>17.134999999999994</c:v>
                </c:pt>
                <c:pt idx="175">
                  <c:v>17.134999999999994</c:v>
                </c:pt>
                <c:pt idx="176">
                  <c:v>17.134999999999994</c:v>
                </c:pt>
                <c:pt idx="177">
                  <c:v>17.134999999999994</c:v>
                </c:pt>
                <c:pt idx="178">
                  <c:v>17.134999999999994</c:v>
                </c:pt>
                <c:pt idx="179">
                  <c:v>17.134999999999994</c:v>
                </c:pt>
                <c:pt idx="180">
                  <c:v>17.134999999999994</c:v>
                </c:pt>
                <c:pt idx="181">
                  <c:v>17.134999999999994</c:v>
                </c:pt>
                <c:pt idx="182">
                  <c:v>17.134999999999994</c:v>
                </c:pt>
                <c:pt idx="183">
                  <c:v>17.134999999999994</c:v>
                </c:pt>
                <c:pt idx="184">
                  <c:v>17.134999999999994</c:v>
                </c:pt>
                <c:pt idx="185">
                  <c:v>17.134999999999994</c:v>
                </c:pt>
                <c:pt idx="186">
                  <c:v>17.134999999999994</c:v>
                </c:pt>
                <c:pt idx="187">
                  <c:v>17.134999999999994</c:v>
                </c:pt>
                <c:pt idx="188">
                  <c:v>17.134999999999994</c:v>
                </c:pt>
                <c:pt idx="189">
                  <c:v>17.134999999999994</c:v>
                </c:pt>
                <c:pt idx="190">
                  <c:v>17.134999999999994</c:v>
                </c:pt>
                <c:pt idx="191">
                  <c:v>17.134999999999994</c:v>
                </c:pt>
                <c:pt idx="192">
                  <c:v>17.134999999999994</c:v>
                </c:pt>
                <c:pt idx="193">
                  <c:v>17.134999999999994</c:v>
                </c:pt>
                <c:pt idx="194">
                  <c:v>17.134999999999994</c:v>
                </c:pt>
                <c:pt idx="195">
                  <c:v>17.134999999999994</c:v>
                </c:pt>
                <c:pt idx="196">
                  <c:v>17.134999999999994</c:v>
                </c:pt>
                <c:pt idx="197">
                  <c:v>17.134999999999994</c:v>
                </c:pt>
                <c:pt idx="198">
                  <c:v>17.134999999999994</c:v>
                </c:pt>
                <c:pt idx="199">
                  <c:v>17.134999999999994</c:v>
                </c:pt>
                <c:pt idx="200">
                  <c:v>17.134999999999994</c:v>
                </c:pt>
                <c:pt idx="201">
                  <c:v>17.134999999999994</c:v>
                </c:pt>
                <c:pt idx="202">
                  <c:v>17.134999999999994</c:v>
                </c:pt>
                <c:pt idx="203">
                  <c:v>17.134999999999994</c:v>
                </c:pt>
                <c:pt idx="204">
                  <c:v>17.134999999999994</c:v>
                </c:pt>
                <c:pt idx="205">
                  <c:v>17.134999999999994</c:v>
                </c:pt>
                <c:pt idx="206">
                  <c:v>17.134999999999994</c:v>
                </c:pt>
                <c:pt idx="207">
                  <c:v>17.134999999999994</c:v>
                </c:pt>
                <c:pt idx="208">
                  <c:v>17.134999999999994</c:v>
                </c:pt>
                <c:pt idx="209">
                  <c:v>17.134999999999994</c:v>
                </c:pt>
                <c:pt idx="210">
                  <c:v>17.134999999999994</c:v>
                </c:pt>
                <c:pt idx="211">
                  <c:v>17.134999999999994</c:v>
                </c:pt>
                <c:pt idx="212">
                  <c:v>17.134999999999994</c:v>
                </c:pt>
                <c:pt idx="213">
                  <c:v>17.134999999999994</c:v>
                </c:pt>
                <c:pt idx="214">
                  <c:v>17.134999999999994</c:v>
                </c:pt>
                <c:pt idx="215">
                  <c:v>17.134999999999994</c:v>
                </c:pt>
                <c:pt idx="216">
                  <c:v>17.134999999999994</c:v>
                </c:pt>
                <c:pt idx="217">
                  <c:v>17.134999999999994</c:v>
                </c:pt>
                <c:pt idx="218">
                  <c:v>17.134999999999994</c:v>
                </c:pt>
                <c:pt idx="219">
                  <c:v>17.134999999999994</c:v>
                </c:pt>
                <c:pt idx="220">
                  <c:v>17.134999999999994</c:v>
                </c:pt>
                <c:pt idx="221">
                  <c:v>17.134999999999994</c:v>
                </c:pt>
                <c:pt idx="222">
                  <c:v>17.134999999999994</c:v>
                </c:pt>
                <c:pt idx="223">
                  <c:v>17.134999999999994</c:v>
                </c:pt>
                <c:pt idx="224">
                  <c:v>17.134999999999994</c:v>
                </c:pt>
                <c:pt idx="225">
                  <c:v>17.134999999999994</c:v>
                </c:pt>
                <c:pt idx="226">
                  <c:v>17.134999999999994</c:v>
                </c:pt>
                <c:pt idx="227">
                  <c:v>17.134999999999994</c:v>
                </c:pt>
                <c:pt idx="228">
                  <c:v>17.134999999999994</c:v>
                </c:pt>
                <c:pt idx="229">
                  <c:v>17.134999999999994</c:v>
                </c:pt>
                <c:pt idx="230">
                  <c:v>17.134999999999994</c:v>
                </c:pt>
                <c:pt idx="231">
                  <c:v>17.134999999999994</c:v>
                </c:pt>
                <c:pt idx="232">
                  <c:v>17.134999999999994</c:v>
                </c:pt>
                <c:pt idx="233">
                  <c:v>17.134999999999994</c:v>
                </c:pt>
                <c:pt idx="234">
                  <c:v>17.134999999999994</c:v>
                </c:pt>
                <c:pt idx="235">
                  <c:v>17.134999999999994</c:v>
                </c:pt>
                <c:pt idx="236">
                  <c:v>17.134999999999994</c:v>
                </c:pt>
                <c:pt idx="237">
                  <c:v>17.134999999999994</c:v>
                </c:pt>
                <c:pt idx="238">
                  <c:v>17.134999999999994</c:v>
                </c:pt>
                <c:pt idx="239">
                  <c:v>17.134999999999994</c:v>
                </c:pt>
                <c:pt idx="240">
                  <c:v>17.134999999999994</c:v>
                </c:pt>
                <c:pt idx="241">
                  <c:v>17.134999999999994</c:v>
                </c:pt>
                <c:pt idx="242">
                  <c:v>17.134999999999994</c:v>
                </c:pt>
                <c:pt idx="243">
                  <c:v>17.134999999999994</c:v>
                </c:pt>
                <c:pt idx="244">
                  <c:v>17.134999999999994</c:v>
                </c:pt>
                <c:pt idx="245">
                  <c:v>17.134999999999994</c:v>
                </c:pt>
                <c:pt idx="246">
                  <c:v>17.134999999999994</c:v>
                </c:pt>
                <c:pt idx="247">
                  <c:v>17.134999999999994</c:v>
                </c:pt>
                <c:pt idx="248">
                  <c:v>17.134999999999994</c:v>
                </c:pt>
                <c:pt idx="249">
                  <c:v>17.134999999999994</c:v>
                </c:pt>
                <c:pt idx="250">
                  <c:v>17.134999999999994</c:v>
                </c:pt>
                <c:pt idx="251">
                  <c:v>17.134999999999994</c:v>
                </c:pt>
                <c:pt idx="252">
                  <c:v>17.134999999999994</c:v>
                </c:pt>
                <c:pt idx="253">
                  <c:v>17.134999999999994</c:v>
                </c:pt>
                <c:pt idx="254">
                  <c:v>17.134999999999994</c:v>
                </c:pt>
                <c:pt idx="255">
                  <c:v>17.134999999999994</c:v>
                </c:pt>
                <c:pt idx="256">
                  <c:v>17.134999999999994</c:v>
                </c:pt>
                <c:pt idx="257">
                  <c:v>17.134999999999994</c:v>
                </c:pt>
                <c:pt idx="258">
                  <c:v>17.134999999999994</c:v>
                </c:pt>
                <c:pt idx="259">
                  <c:v>17.134999999999994</c:v>
                </c:pt>
                <c:pt idx="260">
                  <c:v>17.134999999999994</c:v>
                </c:pt>
                <c:pt idx="261">
                  <c:v>17.134999999999994</c:v>
                </c:pt>
                <c:pt idx="262">
                  <c:v>17.134999999999994</c:v>
                </c:pt>
                <c:pt idx="263">
                  <c:v>17.134999999999994</c:v>
                </c:pt>
                <c:pt idx="264">
                  <c:v>17.134999999999994</c:v>
                </c:pt>
                <c:pt idx="265">
                  <c:v>17.134999999999994</c:v>
                </c:pt>
                <c:pt idx="266">
                  <c:v>17.134999999999994</c:v>
                </c:pt>
                <c:pt idx="267">
                  <c:v>17.134999999999994</c:v>
                </c:pt>
                <c:pt idx="268">
                  <c:v>17.134999999999994</c:v>
                </c:pt>
                <c:pt idx="269">
                  <c:v>17.134999999999994</c:v>
                </c:pt>
                <c:pt idx="270">
                  <c:v>17.134999999999994</c:v>
                </c:pt>
                <c:pt idx="271">
                  <c:v>17.134999999999994</c:v>
                </c:pt>
                <c:pt idx="272">
                  <c:v>17.134999999999994</c:v>
                </c:pt>
                <c:pt idx="273">
                  <c:v>17.134999999999994</c:v>
                </c:pt>
                <c:pt idx="274">
                  <c:v>17.134999999999994</c:v>
                </c:pt>
                <c:pt idx="275">
                  <c:v>17.134999999999994</c:v>
                </c:pt>
                <c:pt idx="276">
                  <c:v>17.134999999999994</c:v>
                </c:pt>
                <c:pt idx="277">
                  <c:v>17.134999999999994</c:v>
                </c:pt>
                <c:pt idx="278">
                  <c:v>17.134999999999994</c:v>
                </c:pt>
                <c:pt idx="279">
                  <c:v>17.134999999999994</c:v>
                </c:pt>
                <c:pt idx="280">
                  <c:v>17.134999999999994</c:v>
                </c:pt>
                <c:pt idx="281">
                  <c:v>17.134999999999994</c:v>
                </c:pt>
                <c:pt idx="282">
                  <c:v>17.134999999999994</c:v>
                </c:pt>
                <c:pt idx="283">
                  <c:v>17.134999999999994</c:v>
                </c:pt>
                <c:pt idx="284">
                  <c:v>17.134999999999994</c:v>
                </c:pt>
                <c:pt idx="285">
                  <c:v>17.134999999999994</c:v>
                </c:pt>
                <c:pt idx="286">
                  <c:v>17.134999999999994</c:v>
                </c:pt>
                <c:pt idx="287">
                  <c:v>17.134999999999994</c:v>
                </c:pt>
                <c:pt idx="288">
                  <c:v>17.134999999999994</c:v>
                </c:pt>
                <c:pt idx="289">
                  <c:v>17.134999999999994</c:v>
                </c:pt>
                <c:pt idx="290">
                  <c:v>17.134999999999994</c:v>
                </c:pt>
                <c:pt idx="291">
                  <c:v>17.134999999999994</c:v>
                </c:pt>
                <c:pt idx="292">
                  <c:v>17.134999999999994</c:v>
                </c:pt>
                <c:pt idx="293">
                  <c:v>17.134999999999994</c:v>
                </c:pt>
                <c:pt idx="294">
                  <c:v>17.134999999999994</c:v>
                </c:pt>
                <c:pt idx="295">
                  <c:v>17.134999999999994</c:v>
                </c:pt>
                <c:pt idx="296">
                  <c:v>17.134999999999994</c:v>
                </c:pt>
                <c:pt idx="297">
                  <c:v>17.134999999999994</c:v>
                </c:pt>
                <c:pt idx="298">
                  <c:v>17.134999999999994</c:v>
                </c:pt>
                <c:pt idx="299">
                  <c:v>17.134999999999994</c:v>
                </c:pt>
                <c:pt idx="300">
                  <c:v>17.134999999999994</c:v>
                </c:pt>
                <c:pt idx="301">
                  <c:v>17.134999999999994</c:v>
                </c:pt>
                <c:pt idx="302">
                  <c:v>17.134999999999994</c:v>
                </c:pt>
                <c:pt idx="303">
                  <c:v>17.134999999999994</c:v>
                </c:pt>
                <c:pt idx="304">
                  <c:v>17.134999999999994</c:v>
                </c:pt>
                <c:pt idx="305">
                  <c:v>17.134999999999994</c:v>
                </c:pt>
                <c:pt idx="306">
                  <c:v>17.134999999999994</c:v>
                </c:pt>
                <c:pt idx="307">
                  <c:v>17.134999999999994</c:v>
                </c:pt>
                <c:pt idx="308">
                  <c:v>17.134999999999994</c:v>
                </c:pt>
                <c:pt idx="309">
                  <c:v>17.134999999999994</c:v>
                </c:pt>
                <c:pt idx="310">
                  <c:v>17.134999999999994</c:v>
                </c:pt>
                <c:pt idx="311">
                  <c:v>17.134999999999994</c:v>
                </c:pt>
                <c:pt idx="312">
                  <c:v>17.134999999999994</c:v>
                </c:pt>
                <c:pt idx="313">
                  <c:v>17.134999999999994</c:v>
                </c:pt>
                <c:pt idx="314">
                  <c:v>17.134999999999994</c:v>
                </c:pt>
                <c:pt idx="315">
                  <c:v>17.134999999999994</c:v>
                </c:pt>
                <c:pt idx="316">
                  <c:v>17.134999999999994</c:v>
                </c:pt>
                <c:pt idx="317">
                  <c:v>17.134999999999994</c:v>
                </c:pt>
                <c:pt idx="318">
                  <c:v>17.134999999999994</c:v>
                </c:pt>
                <c:pt idx="319">
                  <c:v>17.134999999999994</c:v>
                </c:pt>
                <c:pt idx="320">
                  <c:v>17.134999999999994</c:v>
                </c:pt>
                <c:pt idx="321">
                  <c:v>17.134999999999994</c:v>
                </c:pt>
                <c:pt idx="322">
                  <c:v>17.134999999999994</c:v>
                </c:pt>
                <c:pt idx="323">
                  <c:v>17.134999999999994</c:v>
                </c:pt>
                <c:pt idx="324">
                  <c:v>17.134999999999994</c:v>
                </c:pt>
                <c:pt idx="325">
                  <c:v>17.134999999999994</c:v>
                </c:pt>
                <c:pt idx="326">
                  <c:v>17.134999999999994</c:v>
                </c:pt>
                <c:pt idx="327">
                  <c:v>17.134999999999994</c:v>
                </c:pt>
                <c:pt idx="328">
                  <c:v>17.134999999999994</c:v>
                </c:pt>
                <c:pt idx="329">
                  <c:v>17.134999999999994</c:v>
                </c:pt>
                <c:pt idx="330">
                  <c:v>17.134999999999994</c:v>
                </c:pt>
                <c:pt idx="331">
                  <c:v>17.134999999999994</c:v>
                </c:pt>
                <c:pt idx="332">
                  <c:v>17.134999999999994</c:v>
                </c:pt>
                <c:pt idx="333">
                  <c:v>17.134999999999994</c:v>
                </c:pt>
                <c:pt idx="334">
                  <c:v>17.134999999999994</c:v>
                </c:pt>
                <c:pt idx="335">
                  <c:v>17.134999999999994</c:v>
                </c:pt>
                <c:pt idx="336">
                  <c:v>17.134999999999994</c:v>
                </c:pt>
                <c:pt idx="337">
                  <c:v>17.134999999999994</c:v>
                </c:pt>
                <c:pt idx="338">
                  <c:v>17.134999999999994</c:v>
                </c:pt>
                <c:pt idx="339">
                  <c:v>17.134999999999994</c:v>
                </c:pt>
                <c:pt idx="340">
                  <c:v>17.134999999999994</c:v>
                </c:pt>
                <c:pt idx="341">
                  <c:v>17.134999999999994</c:v>
                </c:pt>
                <c:pt idx="342">
                  <c:v>17.134999999999994</c:v>
                </c:pt>
                <c:pt idx="343">
                  <c:v>17.134999999999994</c:v>
                </c:pt>
                <c:pt idx="344">
                  <c:v>17.134999999999994</c:v>
                </c:pt>
                <c:pt idx="345">
                  <c:v>17.134999999999994</c:v>
                </c:pt>
                <c:pt idx="346">
                  <c:v>17.134999999999994</c:v>
                </c:pt>
                <c:pt idx="347">
                  <c:v>17.134999999999994</c:v>
                </c:pt>
                <c:pt idx="348">
                  <c:v>17.134999999999994</c:v>
                </c:pt>
                <c:pt idx="349">
                  <c:v>17.134999999999994</c:v>
                </c:pt>
                <c:pt idx="350">
                  <c:v>17.134999999999994</c:v>
                </c:pt>
                <c:pt idx="351">
                  <c:v>17.134999999999994</c:v>
                </c:pt>
                <c:pt idx="352">
                  <c:v>17.134999999999994</c:v>
                </c:pt>
                <c:pt idx="353">
                  <c:v>17.134999999999994</c:v>
                </c:pt>
                <c:pt idx="354">
                  <c:v>17.134999999999994</c:v>
                </c:pt>
                <c:pt idx="355">
                  <c:v>17.134999999999994</c:v>
                </c:pt>
                <c:pt idx="356">
                  <c:v>17.134999999999994</c:v>
                </c:pt>
                <c:pt idx="357">
                  <c:v>17.134999999999994</c:v>
                </c:pt>
                <c:pt idx="358">
                  <c:v>17.134999999999994</c:v>
                </c:pt>
                <c:pt idx="359">
                  <c:v>17.134999999999994</c:v>
                </c:pt>
                <c:pt idx="360">
                  <c:v>17.134999999999994</c:v>
                </c:pt>
                <c:pt idx="361">
                  <c:v>17.134999999999994</c:v>
                </c:pt>
                <c:pt idx="362">
                  <c:v>17.134999999999994</c:v>
                </c:pt>
                <c:pt idx="363">
                  <c:v>17.134999999999994</c:v>
                </c:pt>
                <c:pt idx="364">
                  <c:v>17.134999999999994</c:v>
                </c:pt>
                <c:pt idx="365">
                  <c:v>17.134999999999994</c:v>
                </c:pt>
                <c:pt idx="366">
                  <c:v>17.134999999999994</c:v>
                </c:pt>
                <c:pt idx="367">
                  <c:v>17.134999999999994</c:v>
                </c:pt>
                <c:pt idx="368">
                  <c:v>17.134999999999994</c:v>
                </c:pt>
                <c:pt idx="369">
                  <c:v>17.134999999999994</c:v>
                </c:pt>
                <c:pt idx="370">
                  <c:v>17.134999999999994</c:v>
                </c:pt>
                <c:pt idx="371">
                  <c:v>17.134999999999994</c:v>
                </c:pt>
                <c:pt idx="372">
                  <c:v>17.134999999999994</c:v>
                </c:pt>
                <c:pt idx="373">
                  <c:v>17.134999999999994</c:v>
                </c:pt>
                <c:pt idx="374">
                  <c:v>17.134999999999994</c:v>
                </c:pt>
                <c:pt idx="375">
                  <c:v>17.134999999999994</c:v>
                </c:pt>
                <c:pt idx="376">
                  <c:v>17.134999999999994</c:v>
                </c:pt>
                <c:pt idx="377">
                  <c:v>17.134999999999994</c:v>
                </c:pt>
                <c:pt idx="378">
                  <c:v>17.134999999999994</c:v>
                </c:pt>
                <c:pt idx="379">
                  <c:v>17.134999999999994</c:v>
                </c:pt>
                <c:pt idx="380">
                  <c:v>17.134999999999994</c:v>
                </c:pt>
                <c:pt idx="381">
                  <c:v>17.134999999999994</c:v>
                </c:pt>
                <c:pt idx="382">
                  <c:v>17.134999999999994</c:v>
                </c:pt>
                <c:pt idx="383">
                  <c:v>17.134999999999994</c:v>
                </c:pt>
                <c:pt idx="384">
                  <c:v>17.134999999999994</c:v>
                </c:pt>
                <c:pt idx="385">
                  <c:v>17.134999999999994</c:v>
                </c:pt>
                <c:pt idx="386">
                  <c:v>17.134999999999994</c:v>
                </c:pt>
                <c:pt idx="387">
                  <c:v>17.134999999999994</c:v>
                </c:pt>
                <c:pt idx="388">
                  <c:v>17.134999999999994</c:v>
                </c:pt>
                <c:pt idx="389">
                  <c:v>17.134999999999994</c:v>
                </c:pt>
                <c:pt idx="390">
                  <c:v>17.134999999999994</c:v>
                </c:pt>
                <c:pt idx="391">
                  <c:v>17.134999999999994</c:v>
                </c:pt>
                <c:pt idx="392">
                  <c:v>17.134999999999994</c:v>
                </c:pt>
                <c:pt idx="393">
                  <c:v>17.134999999999994</c:v>
                </c:pt>
                <c:pt idx="394">
                  <c:v>17.134999999999994</c:v>
                </c:pt>
                <c:pt idx="395">
                  <c:v>17.134999999999994</c:v>
                </c:pt>
                <c:pt idx="396">
                  <c:v>17.134999999999994</c:v>
                </c:pt>
                <c:pt idx="397">
                  <c:v>17.134999999999994</c:v>
                </c:pt>
                <c:pt idx="398">
                  <c:v>17.134999999999994</c:v>
                </c:pt>
                <c:pt idx="399">
                  <c:v>17.134999999999994</c:v>
                </c:pt>
                <c:pt idx="400">
                  <c:v>17.134999999999994</c:v>
                </c:pt>
                <c:pt idx="401">
                  <c:v>17.134999999999994</c:v>
                </c:pt>
                <c:pt idx="402">
                  <c:v>17.134999999999994</c:v>
                </c:pt>
                <c:pt idx="403">
                  <c:v>17.134999999999994</c:v>
                </c:pt>
                <c:pt idx="404">
                  <c:v>17.134999999999994</c:v>
                </c:pt>
                <c:pt idx="405">
                  <c:v>17.134999999999994</c:v>
                </c:pt>
                <c:pt idx="406">
                  <c:v>17.134999999999994</c:v>
                </c:pt>
                <c:pt idx="407">
                  <c:v>17.134999999999994</c:v>
                </c:pt>
                <c:pt idx="408">
                  <c:v>17.134999999999994</c:v>
                </c:pt>
                <c:pt idx="409">
                  <c:v>17.134999999999994</c:v>
                </c:pt>
                <c:pt idx="410">
                  <c:v>17.134999999999994</c:v>
                </c:pt>
                <c:pt idx="411">
                  <c:v>17.134999999999994</c:v>
                </c:pt>
                <c:pt idx="412">
                  <c:v>17.134999999999994</c:v>
                </c:pt>
                <c:pt idx="413">
                  <c:v>17.134999999999994</c:v>
                </c:pt>
                <c:pt idx="414">
                  <c:v>17.134999999999994</c:v>
                </c:pt>
                <c:pt idx="415">
                  <c:v>17.134999999999994</c:v>
                </c:pt>
                <c:pt idx="416">
                  <c:v>17.134999999999994</c:v>
                </c:pt>
                <c:pt idx="417">
                  <c:v>17.134999999999994</c:v>
                </c:pt>
                <c:pt idx="418">
                  <c:v>17.134999999999994</c:v>
                </c:pt>
                <c:pt idx="419">
                  <c:v>17.134999999999994</c:v>
                </c:pt>
                <c:pt idx="420">
                  <c:v>17.134999999999994</c:v>
                </c:pt>
                <c:pt idx="421">
                  <c:v>17.134999999999994</c:v>
                </c:pt>
                <c:pt idx="422">
                  <c:v>17.134999999999994</c:v>
                </c:pt>
                <c:pt idx="423">
                  <c:v>17.134999999999994</c:v>
                </c:pt>
                <c:pt idx="424">
                  <c:v>17.134999999999994</c:v>
                </c:pt>
                <c:pt idx="425">
                  <c:v>17.134999999999994</c:v>
                </c:pt>
                <c:pt idx="426">
                  <c:v>17.134999999999994</c:v>
                </c:pt>
                <c:pt idx="427">
                  <c:v>17.134999999999994</c:v>
                </c:pt>
                <c:pt idx="428">
                  <c:v>17.134999999999994</c:v>
                </c:pt>
                <c:pt idx="429">
                  <c:v>17.134999999999994</c:v>
                </c:pt>
                <c:pt idx="430">
                  <c:v>17.134999999999994</c:v>
                </c:pt>
                <c:pt idx="431">
                  <c:v>17.134999999999994</c:v>
                </c:pt>
                <c:pt idx="432">
                  <c:v>17.134999999999994</c:v>
                </c:pt>
                <c:pt idx="433">
                  <c:v>17.134999999999994</c:v>
                </c:pt>
                <c:pt idx="434">
                  <c:v>17.134999999999994</c:v>
                </c:pt>
                <c:pt idx="435">
                  <c:v>17.134999999999994</c:v>
                </c:pt>
                <c:pt idx="436">
                  <c:v>17.134999999999994</c:v>
                </c:pt>
                <c:pt idx="437">
                  <c:v>17.134999999999994</c:v>
                </c:pt>
                <c:pt idx="438">
                  <c:v>17.134999999999994</c:v>
                </c:pt>
                <c:pt idx="439">
                  <c:v>17.134999999999994</c:v>
                </c:pt>
                <c:pt idx="440">
                  <c:v>17.134999999999994</c:v>
                </c:pt>
                <c:pt idx="441">
                  <c:v>17.134999999999994</c:v>
                </c:pt>
                <c:pt idx="442">
                  <c:v>17.134999999999994</c:v>
                </c:pt>
                <c:pt idx="443">
                  <c:v>17.134999999999994</c:v>
                </c:pt>
                <c:pt idx="444">
                  <c:v>17.134999999999994</c:v>
                </c:pt>
                <c:pt idx="445">
                  <c:v>17.134999999999994</c:v>
                </c:pt>
                <c:pt idx="446">
                  <c:v>17.134999999999994</c:v>
                </c:pt>
                <c:pt idx="447">
                  <c:v>17.134999999999994</c:v>
                </c:pt>
                <c:pt idx="448">
                  <c:v>17.134999999999994</c:v>
                </c:pt>
                <c:pt idx="449">
                  <c:v>17.134999999999994</c:v>
                </c:pt>
                <c:pt idx="450">
                  <c:v>17.134999999999994</c:v>
                </c:pt>
                <c:pt idx="451">
                  <c:v>17.134999999999994</c:v>
                </c:pt>
                <c:pt idx="452">
                  <c:v>17.134999999999994</c:v>
                </c:pt>
                <c:pt idx="453">
                  <c:v>17.134999999999994</c:v>
                </c:pt>
                <c:pt idx="454">
                  <c:v>17.134999999999994</c:v>
                </c:pt>
                <c:pt idx="455">
                  <c:v>17.134999999999994</c:v>
                </c:pt>
                <c:pt idx="456">
                  <c:v>17.134999999999994</c:v>
                </c:pt>
                <c:pt idx="457">
                  <c:v>17.134999999999994</c:v>
                </c:pt>
                <c:pt idx="458">
                  <c:v>17.134999999999994</c:v>
                </c:pt>
                <c:pt idx="459">
                  <c:v>17.134999999999994</c:v>
                </c:pt>
                <c:pt idx="460">
                  <c:v>17.134999999999994</c:v>
                </c:pt>
                <c:pt idx="461">
                  <c:v>17.134999999999994</c:v>
                </c:pt>
                <c:pt idx="462">
                  <c:v>17.134999999999994</c:v>
                </c:pt>
                <c:pt idx="463">
                  <c:v>17.134999999999994</c:v>
                </c:pt>
                <c:pt idx="464">
                  <c:v>17.134999999999994</c:v>
                </c:pt>
                <c:pt idx="465">
                  <c:v>17.134999999999994</c:v>
                </c:pt>
                <c:pt idx="466">
                  <c:v>17.134999999999994</c:v>
                </c:pt>
                <c:pt idx="467">
                  <c:v>17.134999999999994</c:v>
                </c:pt>
                <c:pt idx="468">
                  <c:v>17.134999999999994</c:v>
                </c:pt>
                <c:pt idx="469">
                  <c:v>17.134999999999994</c:v>
                </c:pt>
                <c:pt idx="470">
                  <c:v>17.134999999999994</c:v>
                </c:pt>
                <c:pt idx="471">
                  <c:v>17.134999999999994</c:v>
                </c:pt>
                <c:pt idx="472">
                  <c:v>17.134999999999994</c:v>
                </c:pt>
                <c:pt idx="473">
                  <c:v>17.134999999999994</c:v>
                </c:pt>
                <c:pt idx="474">
                  <c:v>17.134999999999994</c:v>
                </c:pt>
                <c:pt idx="475">
                  <c:v>17.134999999999994</c:v>
                </c:pt>
                <c:pt idx="476">
                  <c:v>17.134999999999994</c:v>
                </c:pt>
                <c:pt idx="477">
                  <c:v>17.134999999999994</c:v>
                </c:pt>
                <c:pt idx="478">
                  <c:v>17.134999999999994</c:v>
                </c:pt>
                <c:pt idx="479">
                  <c:v>17.134999999999994</c:v>
                </c:pt>
                <c:pt idx="480">
                  <c:v>17.134999999999994</c:v>
                </c:pt>
                <c:pt idx="481">
                  <c:v>17.134999999999994</c:v>
                </c:pt>
                <c:pt idx="482">
                  <c:v>17.134999999999994</c:v>
                </c:pt>
                <c:pt idx="483">
                  <c:v>17.134999999999994</c:v>
                </c:pt>
                <c:pt idx="484">
                  <c:v>17.134999999999994</c:v>
                </c:pt>
                <c:pt idx="485">
                  <c:v>17.134999999999994</c:v>
                </c:pt>
                <c:pt idx="486">
                  <c:v>17.134999999999994</c:v>
                </c:pt>
                <c:pt idx="487">
                  <c:v>17.134999999999994</c:v>
                </c:pt>
                <c:pt idx="488">
                  <c:v>17.134999999999994</c:v>
                </c:pt>
                <c:pt idx="489">
                  <c:v>17.134999999999994</c:v>
                </c:pt>
                <c:pt idx="490">
                  <c:v>17.134999999999994</c:v>
                </c:pt>
                <c:pt idx="491">
                  <c:v>17.134999999999994</c:v>
                </c:pt>
                <c:pt idx="492">
                  <c:v>17.134999999999994</c:v>
                </c:pt>
                <c:pt idx="493">
                  <c:v>17.134999999999994</c:v>
                </c:pt>
                <c:pt idx="494">
                  <c:v>17.134999999999994</c:v>
                </c:pt>
                <c:pt idx="495">
                  <c:v>17.134999999999994</c:v>
                </c:pt>
                <c:pt idx="496">
                  <c:v>17.134999999999994</c:v>
                </c:pt>
                <c:pt idx="497">
                  <c:v>17.134999999999994</c:v>
                </c:pt>
                <c:pt idx="498">
                  <c:v>17.134999999999994</c:v>
                </c:pt>
                <c:pt idx="499">
                  <c:v>17.134999999999994</c:v>
                </c:pt>
                <c:pt idx="500">
                  <c:v>17.134999999999994</c:v>
                </c:pt>
                <c:pt idx="501">
                  <c:v>17.134999999999994</c:v>
                </c:pt>
                <c:pt idx="502">
                  <c:v>17.134999999999994</c:v>
                </c:pt>
                <c:pt idx="503">
                  <c:v>17.134999999999994</c:v>
                </c:pt>
                <c:pt idx="504">
                  <c:v>17.134999999999994</c:v>
                </c:pt>
                <c:pt idx="505">
                  <c:v>17.134999999999994</c:v>
                </c:pt>
                <c:pt idx="506">
                  <c:v>17.134999999999994</c:v>
                </c:pt>
                <c:pt idx="507">
                  <c:v>17.134999999999994</c:v>
                </c:pt>
                <c:pt idx="508">
                  <c:v>17.134999999999994</c:v>
                </c:pt>
                <c:pt idx="509">
                  <c:v>17.134999999999994</c:v>
                </c:pt>
                <c:pt idx="510">
                  <c:v>17.134999999999994</c:v>
                </c:pt>
                <c:pt idx="511">
                  <c:v>17.134999999999994</c:v>
                </c:pt>
                <c:pt idx="512">
                  <c:v>17.134999999999994</c:v>
                </c:pt>
                <c:pt idx="513">
                  <c:v>17.134999999999994</c:v>
                </c:pt>
                <c:pt idx="514">
                  <c:v>17.134999999999994</c:v>
                </c:pt>
                <c:pt idx="515">
                  <c:v>17.134999999999994</c:v>
                </c:pt>
                <c:pt idx="516">
                  <c:v>17.134999999999994</c:v>
                </c:pt>
                <c:pt idx="517">
                  <c:v>17.134999999999994</c:v>
                </c:pt>
                <c:pt idx="518">
                  <c:v>17.134999999999994</c:v>
                </c:pt>
                <c:pt idx="519">
                  <c:v>17.134999999999994</c:v>
                </c:pt>
                <c:pt idx="520">
                  <c:v>17.134999999999994</c:v>
                </c:pt>
                <c:pt idx="521">
                  <c:v>17.134999999999994</c:v>
                </c:pt>
                <c:pt idx="522">
                  <c:v>17.134999999999994</c:v>
                </c:pt>
                <c:pt idx="523">
                  <c:v>17.134999999999994</c:v>
                </c:pt>
                <c:pt idx="524">
                  <c:v>17.134999999999994</c:v>
                </c:pt>
                <c:pt idx="525">
                  <c:v>17.134999999999994</c:v>
                </c:pt>
                <c:pt idx="526">
                  <c:v>17.134999999999994</c:v>
                </c:pt>
                <c:pt idx="527">
                  <c:v>17.134999999999994</c:v>
                </c:pt>
                <c:pt idx="528">
                  <c:v>17.134999999999994</c:v>
                </c:pt>
                <c:pt idx="529">
                  <c:v>17.134999999999994</c:v>
                </c:pt>
                <c:pt idx="530">
                  <c:v>17.134999999999994</c:v>
                </c:pt>
                <c:pt idx="531">
                  <c:v>17.134999999999994</c:v>
                </c:pt>
                <c:pt idx="532">
                  <c:v>17.134999999999994</c:v>
                </c:pt>
                <c:pt idx="533">
                  <c:v>17.134999999999994</c:v>
                </c:pt>
                <c:pt idx="534">
                  <c:v>17.134999999999994</c:v>
                </c:pt>
                <c:pt idx="535">
                  <c:v>17.134999999999994</c:v>
                </c:pt>
                <c:pt idx="536">
                  <c:v>17.134999999999994</c:v>
                </c:pt>
                <c:pt idx="537">
                  <c:v>17.134999999999994</c:v>
                </c:pt>
                <c:pt idx="538">
                  <c:v>17.134999999999994</c:v>
                </c:pt>
                <c:pt idx="539">
                  <c:v>17.134999999999994</c:v>
                </c:pt>
                <c:pt idx="540">
                  <c:v>17.134999999999994</c:v>
                </c:pt>
                <c:pt idx="541">
                  <c:v>17.134999999999994</c:v>
                </c:pt>
                <c:pt idx="542">
                  <c:v>17.134999999999994</c:v>
                </c:pt>
                <c:pt idx="543">
                  <c:v>17.134999999999994</c:v>
                </c:pt>
                <c:pt idx="544">
                  <c:v>17.134999999999994</c:v>
                </c:pt>
                <c:pt idx="545">
                  <c:v>17.134999999999994</c:v>
                </c:pt>
                <c:pt idx="546">
                  <c:v>17.134999999999994</c:v>
                </c:pt>
                <c:pt idx="547">
                  <c:v>17.134999999999994</c:v>
                </c:pt>
                <c:pt idx="548">
                  <c:v>17.134999999999994</c:v>
                </c:pt>
                <c:pt idx="549">
                  <c:v>17.134999999999994</c:v>
                </c:pt>
                <c:pt idx="550">
                  <c:v>17.134999999999994</c:v>
                </c:pt>
                <c:pt idx="551">
                  <c:v>17.134999999999994</c:v>
                </c:pt>
                <c:pt idx="552">
                  <c:v>17.134999999999994</c:v>
                </c:pt>
                <c:pt idx="553">
                  <c:v>17.134999999999994</c:v>
                </c:pt>
                <c:pt idx="554">
                  <c:v>17.134999999999994</c:v>
                </c:pt>
                <c:pt idx="555">
                  <c:v>17.134999999999994</c:v>
                </c:pt>
                <c:pt idx="556">
                  <c:v>17.134999999999994</c:v>
                </c:pt>
                <c:pt idx="557">
                  <c:v>17.134999999999994</c:v>
                </c:pt>
                <c:pt idx="558">
                  <c:v>17.134999999999994</c:v>
                </c:pt>
                <c:pt idx="559">
                  <c:v>17.134999999999994</c:v>
                </c:pt>
                <c:pt idx="560">
                  <c:v>17.134999999999994</c:v>
                </c:pt>
                <c:pt idx="561">
                  <c:v>17.134999999999994</c:v>
                </c:pt>
                <c:pt idx="562">
                  <c:v>17.134999999999994</c:v>
                </c:pt>
                <c:pt idx="563">
                  <c:v>17.134999999999994</c:v>
                </c:pt>
                <c:pt idx="564">
                  <c:v>17.134999999999994</c:v>
                </c:pt>
                <c:pt idx="565">
                  <c:v>17.134999999999994</c:v>
                </c:pt>
                <c:pt idx="566">
                  <c:v>17.134999999999994</c:v>
                </c:pt>
                <c:pt idx="567">
                  <c:v>17.134999999999994</c:v>
                </c:pt>
                <c:pt idx="568">
                  <c:v>17.134999999999994</c:v>
                </c:pt>
                <c:pt idx="569">
                  <c:v>17.134999999999994</c:v>
                </c:pt>
                <c:pt idx="570">
                  <c:v>17.134999999999994</c:v>
                </c:pt>
                <c:pt idx="571">
                  <c:v>17.134999999999994</c:v>
                </c:pt>
                <c:pt idx="572">
                  <c:v>17.134999999999994</c:v>
                </c:pt>
                <c:pt idx="573">
                  <c:v>17.134999999999994</c:v>
                </c:pt>
                <c:pt idx="574">
                  <c:v>17.134999999999994</c:v>
                </c:pt>
                <c:pt idx="575">
                  <c:v>17.134999999999994</c:v>
                </c:pt>
                <c:pt idx="576">
                  <c:v>17.134999999999994</c:v>
                </c:pt>
                <c:pt idx="577">
                  <c:v>17.134999999999994</c:v>
                </c:pt>
                <c:pt idx="578">
                  <c:v>17.134999999999994</c:v>
                </c:pt>
                <c:pt idx="579">
                  <c:v>17.134999999999994</c:v>
                </c:pt>
                <c:pt idx="580">
                  <c:v>17.134999999999994</c:v>
                </c:pt>
                <c:pt idx="581">
                  <c:v>17.134999999999994</c:v>
                </c:pt>
                <c:pt idx="582">
                  <c:v>17.134999999999994</c:v>
                </c:pt>
                <c:pt idx="583">
                  <c:v>17.134999999999994</c:v>
                </c:pt>
                <c:pt idx="584">
                  <c:v>17.134999999999994</c:v>
                </c:pt>
                <c:pt idx="585">
                  <c:v>17.134999999999994</c:v>
                </c:pt>
                <c:pt idx="586">
                  <c:v>17.134999999999994</c:v>
                </c:pt>
                <c:pt idx="587">
                  <c:v>17.134999999999994</c:v>
                </c:pt>
                <c:pt idx="588">
                  <c:v>17.134999999999994</c:v>
                </c:pt>
                <c:pt idx="589">
                  <c:v>17.134999999999994</c:v>
                </c:pt>
                <c:pt idx="590">
                  <c:v>17.134999999999994</c:v>
                </c:pt>
                <c:pt idx="591">
                  <c:v>17.134999999999994</c:v>
                </c:pt>
                <c:pt idx="592">
                  <c:v>17.134999999999994</c:v>
                </c:pt>
                <c:pt idx="593">
                  <c:v>17.134999999999994</c:v>
                </c:pt>
                <c:pt idx="594">
                  <c:v>17.134999999999994</c:v>
                </c:pt>
                <c:pt idx="595">
                  <c:v>17.134999999999994</c:v>
                </c:pt>
                <c:pt idx="596">
                  <c:v>17.134999999999994</c:v>
                </c:pt>
                <c:pt idx="597">
                  <c:v>17.134999999999994</c:v>
                </c:pt>
                <c:pt idx="598">
                  <c:v>17.134999999999994</c:v>
                </c:pt>
                <c:pt idx="599">
                  <c:v>17.134999999999994</c:v>
                </c:pt>
                <c:pt idx="600">
                  <c:v>17.134999999999994</c:v>
                </c:pt>
                <c:pt idx="601">
                  <c:v>17.134999999999994</c:v>
                </c:pt>
                <c:pt idx="602">
                  <c:v>17.134999999999994</c:v>
                </c:pt>
                <c:pt idx="603">
                  <c:v>17.134999999999994</c:v>
                </c:pt>
                <c:pt idx="604">
                  <c:v>17.134999999999994</c:v>
                </c:pt>
                <c:pt idx="605">
                  <c:v>17.134999999999994</c:v>
                </c:pt>
                <c:pt idx="606">
                  <c:v>17.134999999999994</c:v>
                </c:pt>
                <c:pt idx="607">
                  <c:v>17.134999999999994</c:v>
                </c:pt>
                <c:pt idx="608">
                  <c:v>17.134999999999994</c:v>
                </c:pt>
                <c:pt idx="609">
                  <c:v>17.134999999999994</c:v>
                </c:pt>
                <c:pt idx="610">
                  <c:v>17.134999999999994</c:v>
                </c:pt>
                <c:pt idx="611">
                  <c:v>17.134999999999994</c:v>
                </c:pt>
                <c:pt idx="612">
                  <c:v>17.134999999999994</c:v>
                </c:pt>
                <c:pt idx="613">
                  <c:v>17.134999999999994</c:v>
                </c:pt>
                <c:pt idx="614">
                  <c:v>17.134999999999994</c:v>
                </c:pt>
                <c:pt idx="615">
                  <c:v>17.134999999999994</c:v>
                </c:pt>
                <c:pt idx="616">
                  <c:v>17.134999999999994</c:v>
                </c:pt>
                <c:pt idx="617">
                  <c:v>17.134999999999994</c:v>
                </c:pt>
                <c:pt idx="618">
                  <c:v>17.134999999999994</c:v>
                </c:pt>
                <c:pt idx="619">
                  <c:v>17.134999999999994</c:v>
                </c:pt>
                <c:pt idx="620">
                  <c:v>17.134999999999994</c:v>
                </c:pt>
                <c:pt idx="621">
                  <c:v>17.134999999999994</c:v>
                </c:pt>
                <c:pt idx="622">
                  <c:v>17.134999999999994</c:v>
                </c:pt>
                <c:pt idx="623">
                  <c:v>17.134999999999994</c:v>
                </c:pt>
                <c:pt idx="624">
                  <c:v>17.134999999999994</c:v>
                </c:pt>
                <c:pt idx="625">
                  <c:v>17.134999999999994</c:v>
                </c:pt>
                <c:pt idx="626">
                  <c:v>17.134999999999994</c:v>
                </c:pt>
                <c:pt idx="627">
                  <c:v>17.134999999999994</c:v>
                </c:pt>
                <c:pt idx="628">
                  <c:v>17.134999999999994</c:v>
                </c:pt>
                <c:pt idx="629">
                  <c:v>17.134999999999994</c:v>
                </c:pt>
                <c:pt idx="630">
                  <c:v>17.134999999999994</c:v>
                </c:pt>
                <c:pt idx="631">
                  <c:v>17.134999999999994</c:v>
                </c:pt>
                <c:pt idx="632">
                  <c:v>17.134999999999994</c:v>
                </c:pt>
                <c:pt idx="633">
                  <c:v>17.134999999999994</c:v>
                </c:pt>
                <c:pt idx="634">
                  <c:v>17.134999999999994</c:v>
                </c:pt>
                <c:pt idx="635">
                  <c:v>17.134999999999994</c:v>
                </c:pt>
                <c:pt idx="636">
                  <c:v>17.134999999999994</c:v>
                </c:pt>
                <c:pt idx="637">
                  <c:v>17.134999999999994</c:v>
                </c:pt>
                <c:pt idx="638">
                  <c:v>17.134999999999994</c:v>
                </c:pt>
                <c:pt idx="639">
                  <c:v>17.134999999999994</c:v>
                </c:pt>
                <c:pt idx="640">
                  <c:v>17.134999999999994</c:v>
                </c:pt>
                <c:pt idx="641">
                  <c:v>17.134999999999994</c:v>
                </c:pt>
                <c:pt idx="642">
                  <c:v>17.134999999999994</c:v>
                </c:pt>
                <c:pt idx="643">
                  <c:v>17.134999999999994</c:v>
                </c:pt>
                <c:pt idx="644">
                  <c:v>17.134999999999994</c:v>
                </c:pt>
                <c:pt idx="645">
                  <c:v>17.134999999999994</c:v>
                </c:pt>
                <c:pt idx="646">
                  <c:v>17.134999999999994</c:v>
                </c:pt>
                <c:pt idx="647">
                  <c:v>17.134999999999994</c:v>
                </c:pt>
                <c:pt idx="648">
                  <c:v>17.134999999999994</c:v>
                </c:pt>
                <c:pt idx="649">
                  <c:v>17.134999999999994</c:v>
                </c:pt>
                <c:pt idx="650">
                  <c:v>17.134999999999994</c:v>
                </c:pt>
                <c:pt idx="651">
                  <c:v>17.134999999999994</c:v>
                </c:pt>
                <c:pt idx="652">
                  <c:v>17.134999999999994</c:v>
                </c:pt>
                <c:pt idx="653">
                  <c:v>17.134999999999994</c:v>
                </c:pt>
                <c:pt idx="654">
                  <c:v>17.134999999999994</c:v>
                </c:pt>
                <c:pt idx="655">
                  <c:v>17.134999999999994</c:v>
                </c:pt>
                <c:pt idx="656">
                  <c:v>17.134999999999994</c:v>
                </c:pt>
                <c:pt idx="657">
                  <c:v>17.134999999999994</c:v>
                </c:pt>
                <c:pt idx="658">
                  <c:v>17.134999999999994</c:v>
                </c:pt>
                <c:pt idx="659">
                  <c:v>17.134999999999994</c:v>
                </c:pt>
                <c:pt idx="660">
                  <c:v>17.134999999999994</c:v>
                </c:pt>
                <c:pt idx="661">
                  <c:v>17.134999999999994</c:v>
                </c:pt>
                <c:pt idx="662">
                  <c:v>17.134999999999994</c:v>
                </c:pt>
                <c:pt idx="663">
                  <c:v>17.134999999999994</c:v>
                </c:pt>
                <c:pt idx="664">
                  <c:v>17.134999999999994</c:v>
                </c:pt>
                <c:pt idx="665">
                  <c:v>17.134999999999994</c:v>
                </c:pt>
                <c:pt idx="666">
                  <c:v>17.134999999999994</c:v>
                </c:pt>
                <c:pt idx="667">
                  <c:v>17.134999999999994</c:v>
                </c:pt>
                <c:pt idx="668">
                  <c:v>17.134999999999994</c:v>
                </c:pt>
                <c:pt idx="669">
                  <c:v>17.134999999999994</c:v>
                </c:pt>
                <c:pt idx="670">
                  <c:v>17.134999999999994</c:v>
                </c:pt>
                <c:pt idx="671">
                  <c:v>17.134999999999994</c:v>
                </c:pt>
                <c:pt idx="672">
                  <c:v>17.134999999999994</c:v>
                </c:pt>
                <c:pt idx="673">
                  <c:v>17.134999999999994</c:v>
                </c:pt>
                <c:pt idx="674">
                  <c:v>17.134999999999994</c:v>
                </c:pt>
                <c:pt idx="675">
                  <c:v>17.134999999999994</c:v>
                </c:pt>
                <c:pt idx="676">
                  <c:v>17.134999999999994</c:v>
                </c:pt>
                <c:pt idx="677">
                  <c:v>17.134999999999994</c:v>
                </c:pt>
                <c:pt idx="678">
                  <c:v>17.134999999999994</c:v>
                </c:pt>
                <c:pt idx="679">
                  <c:v>17.134999999999994</c:v>
                </c:pt>
                <c:pt idx="680">
                  <c:v>17.134999999999994</c:v>
                </c:pt>
                <c:pt idx="681">
                  <c:v>17.134999999999994</c:v>
                </c:pt>
                <c:pt idx="682">
                  <c:v>17.134999999999994</c:v>
                </c:pt>
                <c:pt idx="683">
                  <c:v>17.134999999999994</c:v>
                </c:pt>
                <c:pt idx="684">
                  <c:v>17.134999999999994</c:v>
                </c:pt>
                <c:pt idx="685">
                  <c:v>17.134999999999994</c:v>
                </c:pt>
                <c:pt idx="686">
                  <c:v>17.134999999999994</c:v>
                </c:pt>
                <c:pt idx="687">
                  <c:v>17.134999999999994</c:v>
                </c:pt>
                <c:pt idx="688">
                  <c:v>17.134999999999994</c:v>
                </c:pt>
                <c:pt idx="689">
                  <c:v>17.134999999999994</c:v>
                </c:pt>
                <c:pt idx="690">
                  <c:v>17.134999999999994</c:v>
                </c:pt>
                <c:pt idx="691">
                  <c:v>17.134999999999994</c:v>
                </c:pt>
                <c:pt idx="692">
                  <c:v>17.134999999999994</c:v>
                </c:pt>
                <c:pt idx="693">
                  <c:v>17.134999999999994</c:v>
                </c:pt>
                <c:pt idx="694">
                  <c:v>17.134999999999994</c:v>
                </c:pt>
                <c:pt idx="695">
                  <c:v>17.134999999999994</c:v>
                </c:pt>
                <c:pt idx="696">
                  <c:v>17.134999999999994</c:v>
                </c:pt>
                <c:pt idx="697">
                  <c:v>17.134999999999994</c:v>
                </c:pt>
                <c:pt idx="698">
                  <c:v>17.134999999999994</c:v>
                </c:pt>
                <c:pt idx="699">
                  <c:v>17.134999999999994</c:v>
                </c:pt>
                <c:pt idx="700">
                  <c:v>17.134999999999994</c:v>
                </c:pt>
                <c:pt idx="701">
                  <c:v>17.134999999999994</c:v>
                </c:pt>
                <c:pt idx="702">
                  <c:v>17.134999999999994</c:v>
                </c:pt>
                <c:pt idx="703">
                  <c:v>17.134999999999994</c:v>
                </c:pt>
                <c:pt idx="704">
                  <c:v>17.134999999999994</c:v>
                </c:pt>
                <c:pt idx="705">
                  <c:v>17.134999999999994</c:v>
                </c:pt>
                <c:pt idx="706">
                  <c:v>17.134999999999994</c:v>
                </c:pt>
                <c:pt idx="707">
                  <c:v>17.134999999999994</c:v>
                </c:pt>
                <c:pt idx="708">
                  <c:v>17.134999999999994</c:v>
                </c:pt>
                <c:pt idx="709">
                  <c:v>17.134999999999994</c:v>
                </c:pt>
                <c:pt idx="710">
                  <c:v>17.134999999999994</c:v>
                </c:pt>
                <c:pt idx="711">
                  <c:v>17.134999999999994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B4-4C58-8AEC-B747D1778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7688928"/>
        <c:axId val="1777689888"/>
      </c:scatterChart>
      <c:valAx>
        <c:axId val="1777688928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689888"/>
        <c:crosses val="autoZero"/>
        <c:crossBetween val="midCat"/>
      </c:valAx>
      <c:valAx>
        <c:axId val="177768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688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forward val="1"/>
            <c:backward val="1"/>
            <c:dispRSqr val="0"/>
            <c:dispEq val="0"/>
          </c:trendline>
          <c:xVal>
            <c:numRef>
              <c:f>Interpolate!$B$4:$B$8</c:f>
              <c:numCache>
                <c:formatCode>General</c:formatCode>
                <c:ptCount val="5"/>
                <c:pt idx="0">
                  <c:v>96</c:v>
                </c:pt>
                <c:pt idx="2">
                  <c:v>100</c:v>
                </c:pt>
                <c:pt idx="4">
                  <c:v>104</c:v>
                </c:pt>
              </c:numCache>
            </c:numRef>
          </c:xVal>
          <c:yVal>
            <c:numRef>
              <c:f>Interpolate!$C$4:$C$8</c:f>
              <c:numCache>
                <c:formatCode>General</c:formatCode>
                <c:ptCount val="5"/>
                <c:pt idx="0">
                  <c:v>400</c:v>
                </c:pt>
                <c:pt idx="2">
                  <c:v>412.5</c:v>
                </c:pt>
                <c:pt idx="4">
                  <c:v>425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46-4313-9FE4-D6584163E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0913008"/>
        <c:axId val="460913400"/>
      </c:scatterChart>
      <c:valAx>
        <c:axId val="460913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60913400"/>
        <c:crosses val="autoZero"/>
        <c:crossBetween val="midCat"/>
      </c:valAx>
      <c:valAx>
        <c:axId val="4609134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6091300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Calibration!$B$25:$B$54</c:f>
              <c:numCache>
                <c:formatCode>General</c:formatCode>
                <c:ptCount val="30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48</c:v>
                </c:pt>
                <c:pt idx="5">
                  <c:v>48</c:v>
                </c:pt>
                <c:pt idx="6">
                  <c:v>48</c:v>
                </c:pt>
                <c:pt idx="7">
                  <c:v>48</c:v>
                </c:pt>
                <c:pt idx="8">
                  <c:v>48</c:v>
                </c:pt>
                <c:pt idx="9">
                  <c:v>48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48</c:v>
                </c:pt>
                <c:pt idx="15">
                  <c:v>48</c:v>
                </c:pt>
                <c:pt idx="16">
                  <c:v>48</c:v>
                </c:pt>
                <c:pt idx="17">
                  <c:v>48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48</c:v>
                </c:pt>
                <c:pt idx="23">
                  <c:v>48</c:v>
                </c:pt>
                <c:pt idx="24">
                  <c:v>48</c:v>
                </c:pt>
                <c:pt idx="25">
                  <c:v>48</c:v>
                </c:pt>
                <c:pt idx="26">
                  <c:v>120</c:v>
                </c:pt>
                <c:pt idx="27">
                  <c:v>120</c:v>
                </c:pt>
                <c:pt idx="28">
                  <c:v>120</c:v>
                </c:pt>
                <c:pt idx="29">
                  <c:v>120</c:v>
                </c:pt>
              </c:numCache>
            </c:numRef>
          </c:xVal>
          <c:yVal>
            <c:numRef>
              <c:f>Calibration!$F$25:$F$54</c:f>
              <c:numCache>
                <c:formatCode>General</c:formatCode>
                <c:ptCount val="30"/>
                <c:pt idx="0">
                  <c:v>-2.5</c:v>
                </c:pt>
                <c:pt idx="1">
                  <c:v>-2</c:v>
                </c:pt>
                <c:pt idx="2">
                  <c:v>-2.5</c:v>
                </c:pt>
                <c:pt idx="3">
                  <c:v>-2.5</c:v>
                </c:pt>
                <c:pt idx="4">
                  <c:v>-5.5</c:v>
                </c:pt>
                <c:pt idx="5">
                  <c:v>-3</c:v>
                </c:pt>
                <c:pt idx="6">
                  <c:v>-3.5</c:v>
                </c:pt>
                <c:pt idx="7">
                  <c:v>-7</c:v>
                </c:pt>
                <c:pt idx="8">
                  <c:v>-3.5</c:v>
                </c:pt>
                <c:pt idx="9">
                  <c:v>-4</c:v>
                </c:pt>
                <c:pt idx="10">
                  <c:v>4</c:v>
                </c:pt>
                <c:pt idx="11">
                  <c:v>1</c:v>
                </c:pt>
                <c:pt idx="12">
                  <c:v>1</c:v>
                </c:pt>
                <c:pt idx="13">
                  <c:v>-0.5</c:v>
                </c:pt>
                <c:pt idx="14">
                  <c:v>6.5</c:v>
                </c:pt>
                <c:pt idx="15">
                  <c:v>5.5</c:v>
                </c:pt>
                <c:pt idx="16">
                  <c:v>6</c:v>
                </c:pt>
                <c:pt idx="17">
                  <c:v>5</c:v>
                </c:pt>
                <c:pt idx="18">
                  <c:v>1</c:v>
                </c:pt>
                <c:pt idx="19">
                  <c:v>1</c:v>
                </c:pt>
                <c:pt idx="20">
                  <c:v>0.5</c:v>
                </c:pt>
                <c:pt idx="21">
                  <c:v>1</c:v>
                </c:pt>
                <c:pt idx="22">
                  <c:v>2</c:v>
                </c:pt>
                <c:pt idx="23">
                  <c:v>5.5</c:v>
                </c:pt>
                <c:pt idx="24">
                  <c:v>6</c:v>
                </c:pt>
                <c:pt idx="25">
                  <c:v>2</c:v>
                </c:pt>
                <c:pt idx="26">
                  <c:v>19</c:v>
                </c:pt>
                <c:pt idx="27">
                  <c:v>22</c:v>
                </c:pt>
                <c:pt idx="28">
                  <c:v>11</c:v>
                </c:pt>
                <c:pt idx="29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2E-4C0D-B028-B75FFF999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7198703"/>
        <c:axId val="1557193903"/>
      </c:scatterChart>
      <c:valAx>
        <c:axId val="1557198703"/>
        <c:scaling>
          <c:orientation val="minMax"/>
          <c:max val="13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193903"/>
        <c:crosses val="autoZero"/>
        <c:crossBetween val="midCat"/>
      </c:valAx>
      <c:valAx>
        <c:axId val="1557193903"/>
        <c:scaling>
          <c:orientation val="minMax"/>
          <c:max val="25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19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Shooting!$C$18:$C$331</c:f>
              <c:numCache>
                <c:formatCode>General</c:formatCode>
                <c:ptCount val="314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0.5</c:v>
                </c:pt>
                <c:pt idx="71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0.5</c:v>
                </c:pt>
                <c:pt idx="106">
                  <c:v>0.5</c:v>
                </c:pt>
                <c:pt idx="107">
                  <c:v>0.5</c:v>
                </c:pt>
                <c:pt idx="108">
                  <c:v>0.5</c:v>
                </c:pt>
                <c:pt idx="109">
                  <c:v>0.5</c:v>
                </c:pt>
                <c:pt idx="110">
                  <c:v>0.5</c:v>
                </c:pt>
                <c:pt idx="111">
                  <c:v>0.5</c:v>
                </c:pt>
                <c:pt idx="112">
                  <c:v>0.5</c:v>
                </c:pt>
                <c:pt idx="113">
                  <c:v>0.5</c:v>
                </c:pt>
                <c:pt idx="114">
                  <c:v>0.5</c:v>
                </c:pt>
                <c:pt idx="115">
                  <c:v>0.5</c:v>
                </c:pt>
                <c:pt idx="116">
                  <c:v>0.5</c:v>
                </c:pt>
                <c:pt idx="117">
                  <c:v>0.5</c:v>
                </c:pt>
                <c:pt idx="118">
                  <c:v>0.5</c:v>
                </c:pt>
                <c:pt idx="119">
                  <c:v>0.5</c:v>
                </c:pt>
                <c:pt idx="120">
                  <c:v>0.5</c:v>
                </c:pt>
                <c:pt idx="121">
                  <c:v>0.5</c:v>
                </c:pt>
                <c:pt idx="122">
                  <c:v>0.5</c:v>
                </c:pt>
                <c:pt idx="123">
                  <c:v>0.5</c:v>
                </c:pt>
                <c:pt idx="124">
                  <c:v>0.5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0.5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0.5</c:v>
                </c:pt>
                <c:pt idx="135">
                  <c:v>0.5</c:v>
                </c:pt>
                <c:pt idx="136">
                  <c:v>0.5</c:v>
                </c:pt>
                <c:pt idx="137">
                  <c:v>0.5</c:v>
                </c:pt>
                <c:pt idx="138">
                  <c:v>0.5</c:v>
                </c:pt>
                <c:pt idx="139">
                  <c:v>0.5</c:v>
                </c:pt>
                <c:pt idx="140">
                  <c:v>0.5</c:v>
                </c:pt>
                <c:pt idx="141">
                  <c:v>0.5</c:v>
                </c:pt>
                <c:pt idx="142">
                  <c:v>0.5</c:v>
                </c:pt>
                <c:pt idx="143">
                  <c:v>0.5</c:v>
                </c:pt>
                <c:pt idx="144">
                  <c:v>0.5</c:v>
                </c:pt>
                <c:pt idx="145">
                  <c:v>0.5</c:v>
                </c:pt>
                <c:pt idx="146">
                  <c:v>0.5</c:v>
                </c:pt>
                <c:pt idx="147">
                  <c:v>0.5</c:v>
                </c:pt>
                <c:pt idx="148">
                  <c:v>0.5</c:v>
                </c:pt>
                <c:pt idx="149">
                  <c:v>0.5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0.5</c:v>
                </c:pt>
                <c:pt idx="156">
                  <c:v>0.5</c:v>
                </c:pt>
                <c:pt idx="157">
                  <c:v>0.5</c:v>
                </c:pt>
                <c:pt idx="158">
                  <c:v>0.5</c:v>
                </c:pt>
                <c:pt idx="159">
                  <c:v>0.5</c:v>
                </c:pt>
                <c:pt idx="160">
                  <c:v>0.5</c:v>
                </c:pt>
                <c:pt idx="161">
                  <c:v>0.5</c:v>
                </c:pt>
                <c:pt idx="162">
                  <c:v>0.5</c:v>
                </c:pt>
                <c:pt idx="163">
                  <c:v>0.5</c:v>
                </c:pt>
                <c:pt idx="164">
                  <c:v>0.5</c:v>
                </c:pt>
                <c:pt idx="165">
                  <c:v>0.5</c:v>
                </c:pt>
                <c:pt idx="166">
                  <c:v>0.5</c:v>
                </c:pt>
                <c:pt idx="167">
                  <c:v>0.5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  <c:pt idx="171">
                  <c:v>0.5</c:v>
                </c:pt>
                <c:pt idx="172">
                  <c:v>0.5</c:v>
                </c:pt>
                <c:pt idx="173">
                  <c:v>0.5</c:v>
                </c:pt>
                <c:pt idx="174">
                  <c:v>0.5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0.5</c:v>
                </c:pt>
                <c:pt idx="181">
                  <c:v>0.5</c:v>
                </c:pt>
                <c:pt idx="182">
                  <c:v>0.5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0.5</c:v>
                </c:pt>
                <c:pt idx="193">
                  <c:v>0.5</c:v>
                </c:pt>
                <c:pt idx="194">
                  <c:v>0.5</c:v>
                </c:pt>
                <c:pt idx="195">
                  <c:v>0.5</c:v>
                </c:pt>
                <c:pt idx="196">
                  <c:v>0.5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0.5</c:v>
                </c:pt>
                <c:pt idx="206">
                  <c:v>0.5</c:v>
                </c:pt>
                <c:pt idx="207">
                  <c:v>0.5</c:v>
                </c:pt>
                <c:pt idx="208">
                  <c:v>0.5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0.75</c:v>
                </c:pt>
                <c:pt idx="236">
                  <c:v>0.75</c:v>
                </c:pt>
                <c:pt idx="237">
                  <c:v>0.75</c:v>
                </c:pt>
                <c:pt idx="238">
                  <c:v>0.75</c:v>
                </c:pt>
                <c:pt idx="239">
                  <c:v>0.75</c:v>
                </c:pt>
                <c:pt idx="240">
                  <c:v>0.75</c:v>
                </c:pt>
                <c:pt idx="241">
                  <c:v>0.75</c:v>
                </c:pt>
                <c:pt idx="242">
                  <c:v>0.75</c:v>
                </c:pt>
                <c:pt idx="243">
                  <c:v>0.75</c:v>
                </c:pt>
                <c:pt idx="244">
                  <c:v>0.75</c:v>
                </c:pt>
                <c:pt idx="245">
                  <c:v>0.75</c:v>
                </c:pt>
                <c:pt idx="246">
                  <c:v>0.75</c:v>
                </c:pt>
                <c:pt idx="247">
                  <c:v>0.75</c:v>
                </c:pt>
                <c:pt idx="248">
                  <c:v>0.75</c:v>
                </c:pt>
                <c:pt idx="249">
                  <c:v>0.75</c:v>
                </c:pt>
                <c:pt idx="250">
                  <c:v>0.75</c:v>
                </c:pt>
                <c:pt idx="251">
                  <c:v>0.75</c:v>
                </c:pt>
                <c:pt idx="252">
                  <c:v>0.75</c:v>
                </c:pt>
                <c:pt idx="253">
                  <c:v>0.75</c:v>
                </c:pt>
                <c:pt idx="254">
                  <c:v>0.75</c:v>
                </c:pt>
                <c:pt idx="255">
                  <c:v>0.75</c:v>
                </c:pt>
                <c:pt idx="256">
                  <c:v>0.75</c:v>
                </c:pt>
                <c:pt idx="257">
                  <c:v>0.75</c:v>
                </c:pt>
                <c:pt idx="258">
                  <c:v>0.75</c:v>
                </c:pt>
                <c:pt idx="259">
                  <c:v>0.75</c:v>
                </c:pt>
                <c:pt idx="260">
                  <c:v>0.75</c:v>
                </c:pt>
                <c:pt idx="261">
                  <c:v>0.75</c:v>
                </c:pt>
                <c:pt idx="262">
                  <c:v>0.6</c:v>
                </c:pt>
                <c:pt idx="263">
                  <c:v>0.6</c:v>
                </c:pt>
                <c:pt idx="264">
                  <c:v>0.6</c:v>
                </c:pt>
                <c:pt idx="265">
                  <c:v>0.6</c:v>
                </c:pt>
                <c:pt idx="266">
                  <c:v>0.6</c:v>
                </c:pt>
                <c:pt idx="267">
                  <c:v>0.6</c:v>
                </c:pt>
                <c:pt idx="268">
                  <c:v>0.6</c:v>
                </c:pt>
                <c:pt idx="269">
                  <c:v>0.6</c:v>
                </c:pt>
                <c:pt idx="270">
                  <c:v>0.6</c:v>
                </c:pt>
                <c:pt idx="271">
                  <c:v>0.6</c:v>
                </c:pt>
                <c:pt idx="272">
                  <c:v>0.6</c:v>
                </c:pt>
                <c:pt idx="273">
                  <c:v>0.6</c:v>
                </c:pt>
                <c:pt idx="274">
                  <c:v>0.6</c:v>
                </c:pt>
                <c:pt idx="275">
                  <c:v>0.6</c:v>
                </c:pt>
                <c:pt idx="276">
                  <c:v>0.6</c:v>
                </c:pt>
                <c:pt idx="277">
                  <c:v>0.6</c:v>
                </c:pt>
                <c:pt idx="278">
                  <c:v>0.6</c:v>
                </c:pt>
                <c:pt idx="279">
                  <c:v>0.6</c:v>
                </c:pt>
                <c:pt idx="280">
                  <c:v>0.6</c:v>
                </c:pt>
                <c:pt idx="281">
                  <c:v>0.6</c:v>
                </c:pt>
                <c:pt idx="282">
                  <c:v>0.6</c:v>
                </c:pt>
                <c:pt idx="283">
                  <c:v>0.6</c:v>
                </c:pt>
                <c:pt idx="284">
                  <c:v>0.6</c:v>
                </c:pt>
                <c:pt idx="285">
                  <c:v>0.6</c:v>
                </c:pt>
                <c:pt idx="286">
                  <c:v>0.6</c:v>
                </c:pt>
                <c:pt idx="287">
                  <c:v>0.6</c:v>
                </c:pt>
                <c:pt idx="288">
                  <c:v>0.4</c:v>
                </c:pt>
                <c:pt idx="289">
                  <c:v>0.4</c:v>
                </c:pt>
                <c:pt idx="290">
                  <c:v>0.4</c:v>
                </c:pt>
                <c:pt idx="291">
                  <c:v>0.4</c:v>
                </c:pt>
                <c:pt idx="292">
                  <c:v>0.4</c:v>
                </c:pt>
                <c:pt idx="293">
                  <c:v>0.4</c:v>
                </c:pt>
                <c:pt idx="294">
                  <c:v>0.4</c:v>
                </c:pt>
                <c:pt idx="295">
                  <c:v>0.4</c:v>
                </c:pt>
                <c:pt idx="296">
                  <c:v>0.4</c:v>
                </c:pt>
                <c:pt idx="297">
                  <c:v>0.4</c:v>
                </c:pt>
                <c:pt idx="298">
                  <c:v>0.4</c:v>
                </c:pt>
                <c:pt idx="299">
                  <c:v>0.4</c:v>
                </c:pt>
                <c:pt idx="300">
                  <c:v>0.4</c:v>
                </c:pt>
                <c:pt idx="301">
                  <c:v>0.4</c:v>
                </c:pt>
                <c:pt idx="302">
                  <c:v>0.4</c:v>
                </c:pt>
                <c:pt idx="303">
                  <c:v>0.4</c:v>
                </c:pt>
                <c:pt idx="304">
                  <c:v>0.4</c:v>
                </c:pt>
                <c:pt idx="305">
                  <c:v>0.4</c:v>
                </c:pt>
                <c:pt idx="306">
                  <c:v>0.4</c:v>
                </c:pt>
                <c:pt idx="307">
                  <c:v>0.4</c:v>
                </c:pt>
                <c:pt idx="308">
                  <c:v>0.4</c:v>
                </c:pt>
                <c:pt idx="309">
                  <c:v>0.4</c:v>
                </c:pt>
                <c:pt idx="310">
                  <c:v>0.4</c:v>
                </c:pt>
                <c:pt idx="311">
                  <c:v>0.4</c:v>
                </c:pt>
                <c:pt idx="312">
                  <c:v>0.4</c:v>
                </c:pt>
                <c:pt idx="313">
                  <c:v>0.4</c:v>
                </c:pt>
              </c:numCache>
            </c:numRef>
          </c:xVal>
          <c:yVal>
            <c:numRef>
              <c:f>Shooting!$I$18:$I$331</c:f>
              <c:numCache>
                <c:formatCode>General</c:formatCode>
                <c:ptCount val="314"/>
                <c:pt idx="0">
                  <c:v>60</c:v>
                </c:pt>
                <c:pt idx="1">
                  <c:v>68</c:v>
                </c:pt>
                <c:pt idx="2">
                  <c:v>74</c:v>
                </c:pt>
                <c:pt idx="3">
                  <c:v>66</c:v>
                </c:pt>
                <c:pt idx="4">
                  <c:v>71</c:v>
                </c:pt>
                <c:pt idx="5">
                  <c:v>67</c:v>
                </c:pt>
                <c:pt idx="6">
                  <c:v>55</c:v>
                </c:pt>
                <c:pt idx="7">
                  <c:v>63</c:v>
                </c:pt>
                <c:pt idx="8">
                  <c:v>64</c:v>
                </c:pt>
                <c:pt idx="9">
                  <c:v>69</c:v>
                </c:pt>
                <c:pt idx="10">
                  <c:v>60</c:v>
                </c:pt>
                <c:pt idx="11">
                  <c:v>94</c:v>
                </c:pt>
                <c:pt idx="12">
                  <c:v>86</c:v>
                </c:pt>
                <c:pt idx="13">
                  <c:v>64</c:v>
                </c:pt>
                <c:pt idx="14">
                  <c:v>61</c:v>
                </c:pt>
                <c:pt idx="15">
                  <c:v>65</c:v>
                </c:pt>
                <c:pt idx="16">
                  <c:v>73</c:v>
                </c:pt>
                <c:pt idx="17">
                  <c:v>62</c:v>
                </c:pt>
                <c:pt idx="18">
                  <c:v>69</c:v>
                </c:pt>
                <c:pt idx="19">
                  <c:v>90</c:v>
                </c:pt>
                <c:pt idx="20">
                  <c:v>53</c:v>
                </c:pt>
                <c:pt idx="21">
                  <c:v>67</c:v>
                </c:pt>
                <c:pt idx="22">
                  <c:v>87</c:v>
                </c:pt>
                <c:pt idx="23">
                  <c:v>64</c:v>
                </c:pt>
                <c:pt idx="24">
                  <c:v>70</c:v>
                </c:pt>
                <c:pt idx="25">
                  <c:v>72</c:v>
                </c:pt>
                <c:pt idx="26">
                  <c:v>74</c:v>
                </c:pt>
                <c:pt idx="27">
                  <c:v>67</c:v>
                </c:pt>
                <c:pt idx="28">
                  <c:v>81</c:v>
                </c:pt>
                <c:pt idx="29">
                  <c:v>67</c:v>
                </c:pt>
                <c:pt idx="30">
                  <c:v>85</c:v>
                </c:pt>
                <c:pt idx="31">
                  <c:v>62</c:v>
                </c:pt>
                <c:pt idx="32">
                  <c:v>93</c:v>
                </c:pt>
                <c:pt idx="33">
                  <c:v>101</c:v>
                </c:pt>
                <c:pt idx="34">
                  <c:v>61</c:v>
                </c:pt>
                <c:pt idx="35">
                  <c:v>68</c:v>
                </c:pt>
                <c:pt idx="36">
                  <c:v>83</c:v>
                </c:pt>
                <c:pt idx="37">
                  <c:v>73</c:v>
                </c:pt>
                <c:pt idx="38">
                  <c:v>54</c:v>
                </c:pt>
                <c:pt idx="39">
                  <c:v>66</c:v>
                </c:pt>
                <c:pt idx="40">
                  <c:v>58</c:v>
                </c:pt>
                <c:pt idx="41">
                  <c:v>71</c:v>
                </c:pt>
                <c:pt idx="42">
                  <c:v>64</c:v>
                </c:pt>
                <c:pt idx="43">
                  <c:v>81</c:v>
                </c:pt>
                <c:pt idx="44">
                  <c:v>69</c:v>
                </c:pt>
                <c:pt idx="45">
                  <c:v>49</c:v>
                </c:pt>
                <c:pt idx="46">
                  <c:v>71</c:v>
                </c:pt>
                <c:pt idx="47">
                  <c:v>78</c:v>
                </c:pt>
                <c:pt idx="48">
                  <c:v>72</c:v>
                </c:pt>
                <c:pt idx="49">
                  <c:v>70</c:v>
                </c:pt>
                <c:pt idx="50">
                  <c:v>79</c:v>
                </c:pt>
                <c:pt idx="51">
                  <c:v>59</c:v>
                </c:pt>
                <c:pt idx="52">
                  <c:v>85</c:v>
                </c:pt>
                <c:pt idx="53">
                  <c:v>51</c:v>
                </c:pt>
                <c:pt idx="54">
                  <c:v>67</c:v>
                </c:pt>
                <c:pt idx="55">
                  <c:v>77</c:v>
                </c:pt>
                <c:pt idx="56">
                  <c:v>63</c:v>
                </c:pt>
                <c:pt idx="57">
                  <c:v>61</c:v>
                </c:pt>
                <c:pt idx="58">
                  <c:v>72</c:v>
                </c:pt>
                <c:pt idx="59">
                  <c:v>59</c:v>
                </c:pt>
                <c:pt idx="60">
                  <c:v>47</c:v>
                </c:pt>
                <c:pt idx="61">
                  <c:v>65</c:v>
                </c:pt>
                <c:pt idx="62">
                  <c:v>76</c:v>
                </c:pt>
                <c:pt idx="63">
                  <c:v>70</c:v>
                </c:pt>
                <c:pt idx="64">
                  <c:v>74</c:v>
                </c:pt>
                <c:pt idx="65">
                  <c:v>62</c:v>
                </c:pt>
                <c:pt idx="66">
                  <c:v>81</c:v>
                </c:pt>
                <c:pt idx="67">
                  <c:v>45</c:v>
                </c:pt>
                <c:pt idx="68">
                  <c:v>52</c:v>
                </c:pt>
                <c:pt idx="69">
                  <c:v>52</c:v>
                </c:pt>
                <c:pt idx="70">
                  <c:v>64</c:v>
                </c:pt>
                <c:pt idx="71">
                  <c:v>64</c:v>
                </c:pt>
                <c:pt idx="72">
                  <c:v>77</c:v>
                </c:pt>
                <c:pt idx="73">
                  <c:v>63</c:v>
                </c:pt>
                <c:pt idx="74">
                  <c:v>81</c:v>
                </c:pt>
                <c:pt idx="75">
                  <c:v>62</c:v>
                </c:pt>
                <c:pt idx="76">
                  <c:v>97</c:v>
                </c:pt>
                <c:pt idx="77">
                  <c:v>65</c:v>
                </c:pt>
                <c:pt idx="78">
                  <c:v>76</c:v>
                </c:pt>
                <c:pt idx="79">
                  <c:v>78</c:v>
                </c:pt>
                <c:pt idx="80">
                  <c:v>76</c:v>
                </c:pt>
                <c:pt idx="81">
                  <c:v>71</c:v>
                </c:pt>
                <c:pt idx="82">
                  <c:v>87</c:v>
                </c:pt>
                <c:pt idx="83">
                  <c:v>75</c:v>
                </c:pt>
                <c:pt idx="84">
                  <c:v>61</c:v>
                </c:pt>
                <c:pt idx="85">
                  <c:v>74</c:v>
                </c:pt>
                <c:pt idx="86">
                  <c:v>71</c:v>
                </c:pt>
                <c:pt idx="87">
                  <c:v>67</c:v>
                </c:pt>
                <c:pt idx="88">
                  <c:v>66</c:v>
                </c:pt>
                <c:pt idx="89">
                  <c:v>79</c:v>
                </c:pt>
                <c:pt idx="90">
                  <c:v>75</c:v>
                </c:pt>
                <c:pt idx="91">
                  <c:v>69</c:v>
                </c:pt>
                <c:pt idx="92">
                  <c:v>66</c:v>
                </c:pt>
                <c:pt idx="93">
                  <c:v>77</c:v>
                </c:pt>
                <c:pt idx="94">
                  <c:v>63</c:v>
                </c:pt>
                <c:pt idx="95">
                  <c:v>60</c:v>
                </c:pt>
                <c:pt idx="96">
                  <c:v>74</c:v>
                </c:pt>
                <c:pt idx="97">
                  <c:v>60</c:v>
                </c:pt>
                <c:pt idx="98">
                  <c:v>64</c:v>
                </c:pt>
                <c:pt idx="99">
                  <c:v>63</c:v>
                </c:pt>
                <c:pt idx="100">
                  <c:v>64</c:v>
                </c:pt>
                <c:pt idx="101">
                  <c:v>52</c:v>
                </c:pt>
                <c:pt idx="102">
                  <c:v>70</c:v>
                </c:pt>
                <c:pt idx="103">
                  <c:v>54</c:v>
                </c:pt>
                <c:pt idx="104">
                  <c:v>67</c:v>
                </c:pt>
                <c:pt idx="105">
                  <c:v>57</c:v>
                </c:pt>
                <c:pt idx="106">
                  <c:v>83</c:v>
                </c:pt>
                <c:pt idx="107">
                  <c:v>66</c:v>
                </c:pt>
                <c:pt idx="108">
                  <c:v>65</c:v>
                </c:pt>
                <c:pt idx="109">
                  <c:v>70</c:v>
                </c:pt>
                <c:pt idx="110">
                  <c:v>87</c:v>
                </c:pt>
                <c:pt idx="111">
                  <c:v>76</c:v>
                </c:pt>
                <c:pt idx="112">
                  <c:v>61</c:v>
                </c:pt>
                <c:pt idx="113">
                  <c:v>68</c:v>
                </c:pt>
                <c:pt idx="114">
                  <c:v>68</c:v>
                </c:pt>
                <c:pt idx="115">
                  <c:v>54</c:v>
                </c:pt>
                <c:pt idx="116">
                  <c:v>65</c:v>
                </c:pt>
                <c:pt idx="117">
                  <c:v>80</c:v>
                </c:pt>
                <c:pt idx="118">
                  <c:v>69</c:v>
                </c:pt>
                <c:pt idx="119">
                  <c:v>71</c:v>
                </c:pt>
                <c:pt idx="120">
                  <c:v>59</c:v>
                </c:pt>
                <c:pt idx="121">
                  <c:v>80</c:v>
                </c:pt>
                <c:pt idx="122">
                  <c:v>66</c:v>
                </c:pt>
                <c:pt idx="123">
                  <c:v>74</c:v>
                </c:pt>
                <c:pt idx="124">
                  <c:v>84</c:v>
                </c:pt>
                <c:pt idx="125">
                  <c:v>65</c:v>
                </c:pt>
                <c:pt idx="126">
                  <c:v>74</c:v>
                </c:pt>
                <c:pt idx="127">
                  <c:v>66</c:v>
                </c:pt>
                <c:pt idx="128">
                  <c:v>62</c:v>
                </c:pt>
                <c:pt idx="129">
                  <c:v>75</c:v>
                </c:pt>
                <c:pt idx="130">
                  <c:v>68</c:v>
                </c:pt>
                <c:pt idx="131">
                  <c:v>51</c:v>
                </c:pt>
                <c:pt idx="132">
                  <c:v>72</c:v>
                </c:pt>
                <c:pt idx="133">
                  <c:v>94</c:v>
                </c:pt>
                <c:pt idx="134">
                  <c:v>65</c:v>
                </c:pt>
                <c:pt idx="135">
                  <c:v>92</c:v>
                </c:pt>
                <c:pt idx="136">
                  <c:v>73</c:v>
                </c:pt>
                <c:pt idx="137">
                  <c:v>76</c:v>
                </c:pt>
                <c:pt idx="138">
                  <c:v>73</c:v>
                </c:pt>
                <c:pt idx="139">
                  <c:v>69</c:v>
                </c:pt>
                <c:pt idx="140">
                  <c:v>62</c:v>
                </c:pt>
                <c:pt idx="141">
                  <c:v>64</c:v>
                </c:pt>
                <c:pt idx="142">
                  <c:v>73</c:v>
                </c:pt>
                <c:pt idx="143">
                  <c:v>59</c:v>
                </c:pt>
                <c:pt idx="144">
                  <c:v>49</c:v>
                </c:pt>
                <c:pt idx="145">
                  <c:v>80</c:v>
                </c:pt>
                <c:pt idx="146">
                  <c:v>68</c:v>
                </c:pt>
                <c:pt idx="147">
                  <c:v>49</c:v>
                </c:pt>
                <c:pt idx="148">
                  <c:v>62</c:v>
                </c:pt>
                <c:pt idx="149">
                  <c:v>101</c:v>
                </c:pt>
                <c:pt idx="150">
                  <c:v>83</c:v>
                </c:pt>
                <c:pt idx="151">
                  <c:v>76</c:v>
                </c:pt>
                <c:pt idx="152">
                  <c:v>69</c:v>
                </c:pt>
                <c:pt idx="153">
                  <c:v>81</c:v>
                </c:pt>
                <c:pt idx="154">
                  <c:v>53</c:v>
                </c:pt>
                <c:pt idx="155">
                  <c:v>71</c:v>
                </c:pt>
                <c:pt idx="156">
                  <c:v>62</c:v>
                </c:pt>
                <c:pt idx="157">
                  <c:v>64</c:v>
                </c:pt>
                <c:pt idx="158">
                  <c:v>84</c:v>
                </c:pt>
                <c:pt idx="159">
                  <c:v>56</c:v>
                </c:pt>
                <c:pt idx="160">
                  <c:v>62</c:v>
                </c:pt>
                <c:pt idx="161">
                  <c:v>64</c:v>
                </c:pt>
                <c:pt idx="162">
                  <c:v>60</c:v>
                </c:pt>
                <c:pt idx="163">
                  <c:v>66</c:v>
                </c:pt>
                <c:pt idx="164">
                  <c:v>74</c:v>
                </c:pt>
                <c:pt idx="165">
                  <c:v>59</c:v>
                </c:pt>
                <c:pt idx="166">
                  <c:v>57</c:v>
                </c:pt>
                <c:pt idx="167">
                  <c:v>86</c:v>
                </c:pt>
                <c:pt idx="168">
                  <c:v>69</c:v>
                </c:pt>
                <c:pt idx="169">
                  <c:v>89</c:v>
                </c:pt>
                <c:pt idx="170">
                  <c:v>68</c:v>
                </c:pt>
                <c:pt idx="171">
                  <c:v>76</c:v>
                </c:pt>
                <c:pt idx="172">
                  <c:v>58</c:v>
                </c:pt>
                <c:pt idx="173">
                  <c:v>76</c:v>
                </c:pt>
                <c:pt idx="174">
                  <c:v>54</c:v>
                </c:pt>
                <c:pt idx="175">
                  <c:v>75</c:v>
                </c:pt>
                <c:pt idx="176">
                  <c:v>64</c:v>
                </c:pt>
                <c:pt idx="177">
                  <c:v>82</c:v>
                </c:pt>
                <c:pt idx="178">
                  <c:v>60</c:v>
                </c:pt>
                <c:pt idx="179">
                  <c:v>58</c:v>
                </c:pt>
                <c:pt idx="180">
                  <c:v>57</c:v>
                </c:pt>
                <c:pt idx="181">
                  <c:v>76</c:v>
                </c:pt>
                <c:pt idx="182">
                  <c:v>39</c:v>
                </c:pt>
                <c:pt idx="183">
                  <c:v>60</c:v>
                </c:pt>
                <c:pt idx="184">
                  <c:v>56</c:v>
                </c:pt>
                <c:pt idx="185">
                  <c:v>85</c:v>
                </c:pt>
                <c:pt idx="186">
                  <c:v>57</c:v>
                </c:pt>
                <c:pt idx="187">
                  <c:v>55</c:v>
                </c:pt>
                <c:pt idx="188">
                  <c:v>71</c:v>
                </c:pt>
                <c:pt idx="189">
                  <c:v>58</c:v>
                </c:pt>
                <c:pt idx="190">
                  <c:v>69</c:v>
                </c:pt>
                <c:pt idx="191">
                  <c:v>60</c:v>
                </c:pt>
                <c:pt idx="192">
                  <c:v>84</c:v>
                </c:pt>
                <c:pt idx="193">
                  <c:v>60</c:v>
                </c:pt>
                <c:pt idx="194">
                  <c:v>78</c:v>
                </c:pt>
                <c:pt idx="195">
                  <c:v>64</c:v>
                </c:pt>
                <c:pt idx="196">
                  <c:v>83</c:v>
                </c:pt>
                <c:pt idx="197">
                  <c:v>61</c:v>
                </c:pt>
                <c:pt idx="198">
                  <c:v>48</c:v>
                </c:pt>
                <c:pt idx="199">
                  <c:v>64</c:v>
                </c:pt>
                <c:pt idx="200">
                  <c:v>68</c:v>
                </c:pt>
                <c:pt idx="201">
                  <c:v>50</c:v>
                </c:pt>
                <c:pt idx="202">
                  <c:v>69</c:v>
                </c:pt>
                <c:pt idx="203">
                  <c:v>63</c:v>
                </c:pt>
                <c:pt idx="204">
                  <c:v>68</c:v>
                </c:pt>
                <c:pt idx="205">
                  <c:v>66</c:v>
                </c:pt>
                <c:pt idx="206">
                  <c:v>78</c:v>
                </c:pt>
                <c:pt idx="207">
                  <c:v>69</c:v>
                </c:pt>
                <c:pt idx="208">
                  <c:v>65</c:v>
                </c:pt>
                <c:pt idx="209">
                  <c:v>20</c:v>
                </c:pt>
                <c:pt idx="210">
                  <c:v>21</c:v>
                </c:pt>
                <c:pt idx="211">
                  <c:v>78</c:v>
                </c:pt>
                <c:pt idx="212">
                  <c:v>15</c:v>
                </c:pt>
                <c:pt idx="213">
                  <c:v>69</c:v>
                </c:pt>
                <c:pt idx="214">
                  <c:v>15</c:v>
                </c:pt>
                <c:pt idx="215">
                  <c:v>70</c:v>
                </c:pt>
                <c:pt idx="216">
                  <c:v>29</c:v>
                </c:pt>
                <c:pt idx="217">
                  <c:v>46</c:v>
                </c:pt>
                <c:pt idx="218">
                  <c:v>34</c:v>
                </c:pt>
                <c:pt idx="219">
                  <c:v>41</c:v>
                </c:pt>
                <c:pt idx="220">
                  <c:v>39</c:v>
                </c:pt>
                <c:pt idx="221">
                  <c:v>62</c:v>
                </c:pt>
                <c:pt idx="222">
                  <c:v>21</c:v>
                </c:pt>
                <c:pt idx="223">
                  <c:v>54</c:v>
                </c:pt>
                <c:pt idx="224">
                  <c:v>60</c:v>
                </c:pt>
                <c:pt idx="225">
                  <c:v>21</c:v>
                </c:pt>
                <c:pt idx="226">
                  <c:v>45</c:v>
                </c:pt>
                <c:pt idx="227">
                  <c:v>38</c:v>
                </c:pt>
                <c:pt idx="228">
                  <c:v>43</c:v>
                </c:pt>
                <c:pt idx="229">
                  <c:v>34</c:v>
                </c:pt>
                <c:pt idx="230">
                  <c:v>37</c:v>
                </c:pt>
                <c:pt idx="231">
                  <c:v>33</c:v>
                </c:pt>
                <c:pt idx="232">
                  <c:v>63</c:v>
                </c:pt>
                <c:pt idx="233">
                  <c:v>38</c:v>
                </c:pt>
                <c:pt idx="234">
                  <c:v>60</c:v>
                </c:pt>
                <c:pt idx="235">
                  <c:v>59</c:v>
                </c:pt>
                <c:pt idx="236">
                  <c:v>81</c:v>
                </c:pt>
                <c:pt idx="237">
                  <c:v>64</c:v>
                </c:pt>
                <c:pt idx="238">
                  <c:v>66</c:v>
                </c:pt>
                <c:pt idx="239">
                  <c:v>50</c:v>
                </c:pt>
                <c:pt idx="240">
                  <c:v>72</c:v>
                </c:pt>
                <c:pt idx="241">
                  <c:v>45</c:v>
                </c:pt>
                <c:pt idx="242">
                  <c:v>47</c:v>
                </c:pt>
                <c:pt idx="243">
                  <c:v>66</c:v>
                </c:pt>
                <c:pt idx="244">
                  <c:v>66</c:v>
                </c:pt>
                <c:pt idx="245">
                  <c:v>52</c:v>
                </c:pt>
                <c:pt idx="246">
                  <c:v>51</c:v>
                </c:pt>
                <c:pt idx="247">
                  <c:v>42</c:v>
                </c:pt>
                <c:pt idx="248">
                  <c:v>64</c:v>
                </c:pt>
                <c:pt idx="249">
                  <c:v>44</c:v>
                </c:pt>
                <c:pt idx="250">
                  <c:v>75</c:v>
                </c:pt>
                <c:pt idx="251">
                  <c:v>59</c:v>
                </c:pt>
                <c:pt idx="252">
                  <c:v>60</c:v>
                </c:pt>
                <c:pt idx="253">
                  <c:v>49</c:v>
                </c:pt>
                <c:pt idx="254">
                  <c:v>86</c:v>
                </c:pt>
                <c:pt idx="255">
                  <c:v>47</c:v>
                </c:pt>
                <c:pt idx="256">
                  <c:v>53</c:v>
                </c:pt>
                <c:pt idx="257">
                  <c:v>40</c:v>
                </c:pt>
                <c:pt idx="258">
                  <c:v>81</c:v>
                </c:pt>
                <c:pt idx="259">
                  <c:v>45</c:v>
                </c:pt>
                <c:pt idx="260">
                  <c:v>21</c:v>
                </c:pt>
                <c:pt idx="261">
                  <c:v>45</c:v>
                </c:pt>
                <c:pt idx="262">
                  <c:v>72</c:v>
                </c:pt>
                <c:pt idx="263">
                  <c:v>94</c:v>
                </c:pt>
                <c:pt idx="264">
                  <c:v>71</c:v>
                </c:pt>
                <c:pt idx="265">
                  <c:v>71</c:v>
                </c:pt>
                <c:pt idx="266">
                  <c:v>61</c:v>
                </c:pt>
                <c:pt idx="267">
                  <c:v>91</c:v>
                </c:pt>
                <c:pt idx="268">
                  <c:v>73</c:v>
                </c:pt>
                <c:pt idx="269">
                  <c:v>57</c:v>
                </c:pt>
                <c:pt idx="270">
                  <c:v>80</c:v>
                </c:pt>
                <c:pt idx="271">
                  <c:v>57</c:v>
                </c:pt>
                <c:pt idx="272">
                  <c:v>74</c:v>
                </c:pt>
                <c:pt idx="273">
                  <c:v>55</c:v>
                </c:pt>
                <c:pt idx="274">
                  <c:v>79</c:v>
                </c:pt>
                <c:pt idx="275">
                  <c:v>53</c:v>
                </c:pt>
                <c:pt idx="276">
                  <c:v>72</c:v>
                </c:pt>
                <c:pt idx="277">
                  <c:v>54</c:v>
                </c:pt>
                <c:pt idx="278">
                  <c:v>64</c:v>
                </c:pt>
                <c:pt idx="279">
                  <c:v>58</c:v>
                </c:pt>
                <c:pt idx="280">
                  <c:v>61</c:v>
                </c:pt>
                <c:pt idx="281">
                  <c:v>49</c:v>
                </c:pt>
                <c:pt idx="282">
                  <c:v>71</c:v>
                </c:pt>
                <c:pt idx="283">
                  <c:v>52</c:v>
                </c:pt>
                <c:pt idx="284">
                  <c:v>56</c:v>
                </c:pt>
                <c:pt idx="285">
                  <c:v>58</c:v>
                </c:pt>
                <c:pt idx="286">
                  <c:v>60</c:v>
                </c:pt>
                <c:pt idx="287">
                  <c:v>50</c:v>
                </c:pt>
                <c:pt idx="288">
                  <c:v>69</c:v>
                </c:pt>
                <c:pt idx="289">
                  <c:v>72</c:v>
                </c:pt>
                <c:pt idx="290">
                  <c:v>49</c:v>
                </c:pt>
                <c:pt idx="291">
                  <c:v>67</c:v>
                </c:pt>
                <c:pt idx="292">
                  <c:v>67</c:v>
                </c:pt>
                <c:pt idx="293">
                  <c:v>81</c:v>
                </c:pt>
                <c:pt idx="294">
                  <c:v>66</c:v>
                </c:pt>
                <c:pt idx="295">
                  <c:v>60</c:v>
                </c:pt>
                <c:pt idx="296">
                  <c:v>67</c:v>
                </c:pt>
                <c:pt idx="297">
                  <c:v>86</c:v>
                </c:pt>
                <c:pt idx="298">
                  <c:v>67</c:v>
                </c:pt>
                <c:pt idx="299">
                  <c:v>66</c:v>
                </c:pt>
                <c:pt idx="300">
                  <c:v>64</c:v>
                </c:pt>
                <c:pt idx="301">
                  <c:v>78</c:v>
                </c:pt>
                <c:pt idx="302">
                  <c:v>54</c:v>
                </c:pt>
                <c:pt idx="303">
                  <c:v>78</c:v>
                </c:pt>
                <c:pt idx="304">
                  <c:v>47</c:v>
                </c:pt>
                <c:pt idx="305">
                  <c:v>57</c:v>
                </c:pt>
                <c:pt idx="306">
                  <c:v>57</c:v>
                </c:pt>
                <c:pt idx="307">
                  <c:v>85</c:v>
                </c:pt>
                <c:pt idx="308">
                  <c:v>67</c:v>
                </c:pt>
                <c:pt idx="309">
                  <c:v>63</c:v>
                </c:pt>
                <c:pt idx="310">
                  <c:v>67</c:v>
                </c:pt>
                <c:pt idx="311">
                  <c:v>74</c:v>
                </c:pt>
                <c:pt idx="312">
                  <c:v>72</c:v>
                </c:pt>
                <c:pt idx="313">
                  <c:v>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5B-447E-AB6E-60044E8CC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9578088"/>
        <c:axId val="1069578448"/>
      </c:scatterChart>
      <c:valAx>
        <c:axId val="1069578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578448"/>
        <c:crosses val="autoZero"/>
        <c:crossBetween val="midCat"/>
      </c:valAx>
      <c:valAx>
        <c:axId val="106957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578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Shooting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ShootSpeed!$M$2:$M$6</c:f>
                <c:numCache>
                  <c:formatCode>General</c:formatCode>
                  <c:ptCount val="5"/>
                  <c:pt idx="0">
                    <c:v>3.5220448605888062</c:v>
                  </c:pt>
                  <c:pt idx="1">
                    <c:v>1.7922372291954711</c:v>
                  </c:pt>
                  <c:pt idx="2">
                    <c:v>2.3981778797364357</c:v>
                  </c:pt>
                  <c:pt idx="3">
                    <c:v>2.3320438613860963</c:v>
                  </c:pt>
                  <c:pt idx="4">
                    <c:v>1.0160380570300189</c:v>
                  </c:pt>
                </c:numCache>
              </c:numRef>
            </c:plus>
            <c:minus>
              <c:numRef>
                <c:f>ShootSpeed!$M$2:$M$6</c:f>
                <c:numCache>
                  <c:formatCode>General</c:formatCode>
                  <c:ptCount val="5"/>
                  <c:pt idx="0">
                    <c:v>3.5220448605888062</c:v>
                  </c:pt>
                  <c:pt idx="1">
                    <c:v>1.7922372291954711</c:v>
                  </c:pt>
                  <c:pt idx="2">
                    <c:v>2.3981778797364357</c:v>
                  </c:pt>
                  <c:pt idx="3">
                    <c:v>2.3320438613860963</c:v>
                  </c:pt>
                  <c:pt idx="4">
                    <c:v>1.0160380570300189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ShootSpeed!$K$2:$K$6</c:f>
              <c:numCache>
                <c:formatCode>General</c:formatCode>
                <c:ptCount val="5"/>
                <c:pt idx="0">
                  <c:v>0.4</c:v>
                </c:pt>
                <c:pt idx="1">
                  <c:v>0.5</c:v>
                </c:pt>
                <c:pt idx="2">
                  <c:v>0.6</c:v>
                </c:pt>
                <c:pt idx="3">
                  <c:v>0.75</c:v>
                </c:pt>
                <c:pt idx="4">
                  <c:v>1</c:v>
                </c:pt>
              </c:numCache>
            </c:numRef>
          </c:xVal>
          <c:yVal>
            <c:numRef>
              <c:f>ShootSpeed!$L$2:$L$6</c:f>
              <c:numCache>
                <c:formatCode>General</c:formatCode>
                <c:ptCount val="5"/>
                <c:pt idx="0">
                  <c:v>17.02</c:v>
                </c:pt>
                <c:pt idx="1">
                  <c:v>11.141428571428573</c:v>
                </c:pt>
                <c:pt idx="2">
                  <c:v>10.957142857142857</c:v>
                </c:pt>
                <c:pt idx="3">
                  <c:v>9.0457142857142863</c:v>
                </c:pt>
                <c:pt idx="4">
                  <c:v>6.8100000000000005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59-4ACE-AD8A-D2472F7B6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6249336"/>
        <c:axId val="1056249696"/>
      </c:scatterChart>
      <c:valAx>
        <c:axId val="1056249336"/>
        <c:scaling>
          <c:orientation val="minMax"/>
          <c:max val="1.1100000000000001"/>
          <c:min val="0.300000000000000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249696"/>
        <c:crosses val="autoZero"/>
        <c:crossBetween val="midCat"/>
      </c:valAx>
      <c:valAx>
        <c:axId val="105624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249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ShootSpeed!$B$2:$B$32</c:f>
              <c:numCache>
                <c:formatCode>General</c:formatCode>
                <c:ptCount val="31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0.75</c:v>
                </c:pt>
                <c:pt idx="15">
                  <c:v>0.75</c:v>
                </c:pt>
                <c:pt idx="16">
                  <c:v>0.75</c:v>
                </c:pt>
                <c:pt idx="17">
                  <c:v>0.75</c:v>
                </c:pt>
                <c:pt idx="18">
                  <c:v>0.75</c:v>
                </c:pt>
                <c:pt idx="19">
                  <c:v>0.75</c:v>
                </c:pt>
                <c:pt idx="20">
                  <c:v>0.75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</c:numCache>
            </c:numRef>
          </c:xVal>
          <c:yVal>
            <c:numRef>
              <c:f>ShootSpeed!$E$2:$E$32</c:f>
              <c:numCache>
                <c:formatCode>General</c:formatCode>
                <c:ptCount val="31"/>
                <c:pt idx="0">
                  <c:v>7.95</c:v>
                </c:pt>
                <c:pt idx="1">
                  <c:v>10.09</c:v>
                </c:pt>
                <c:pt idx="2">
                  <c:v>12.03</c:v>
                </c:pt>
                <c:pt idx="3">
                  <c:v>14.74</c:v>
                </c:pt>
                <c:pt idx="4">
                  <c:v>13.07</c:v>
                </c:pt>
                <c:pt idx="5">
                  <c:v>9.42</c:v>
                </c:pt>
                <c:pt idx="6">
                  <c:v>9.4</c:v>
                </c:pt>
                <c:pt idx="7">
                  <c:v>6.25</c:v>
                </c:pt>
                <c:pt idx="8">
                  <c:v>6.92</c:v>
                </c:pt>
                <c:pt idx="9">
                  <c:v>5.65</c:v>
                </c:pt>
                <c:pt idx="10">
                  <c:v>5.76</c:v>
                </c:pt>
                <c:pt idx="11">
                  <c:v>8.3800000000000008</c:v>
                </c:pt>
                <c:pt idx="12">
                  <c:v>7.78</c:v>
                </c:pt>
                <c:pt idx="13">
                  <c:v>6.93</c:v>
                </c:pt>
                <c:pt idx="14">
                  <c:v>6.08</c:v>
                </c:pt>
                <c:pt idx="15">
                  <c:v>8.02</c:v>
                </c:pt>
                <c:pt idx="16">
                  <c:v>6.43</c:v>
                </c:pt>
                <c:pt idx="17">
                  <c:v>11.79</c:v>
                </c:pt>
                <c:pt idx="18">
                  <c:v>9.7799999999999994</c:v>
                </c:pt>
                <c:pt idx="19">
                  <c:v>11.83</c:v>
                </c:pt>
                <c:pt idx="20">
                  <c:v>9.39</c:v>
                </c:pt>
                <c:pt idx="21">
                  <c:v>13.18</c:v>
                </c:pt>
                <c:pt idx="22">
                  <c:v>20.100000000000001</c:v>
                </c:pt>
                <c:pt idx="23">
                  <c:v>17.78</c:v>
                </c:pt>
                <c:pt idx="24">
                  <c:v>10.17</c:v>
                </c:pt>
                <c:pt idx="25">
                  <c:v>9.0500000000000007</c:v>
                </c:pt>
                <c:pt idx="26">
                  <c:v>12.41</c:v>
                </c:pt>
                <c:pt idx="27">
                  <c:v>14.09</c:v>
                </c:pt>
                <c:pt idx="28">
                  <c:v>9.89</c:v>
                </c:pt>
                <c:pt idx="29">
                  <c:v>10.17</c:v>
                </c:pt>
                <c:pt idx="30">
                  <c:v>12.21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7F-4F80-A2BD-58BD9F90E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9548208"/>
        <c:axId val="1069555408"/>
      </c:scatterChart>
      <c:valAx>
        <c:axId val="1069548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555408"/>
        <c:crosses val="autoZero"/>
        <c:crossBetween val="midCat"/>
      </c:valAx>
      <c:valAx>
        <c:axId val="106955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548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Shooting</a:t>
            </a:r>
            <a:r>
              <a:rPr lang="en-US" baseline="0"/>
              <a:t> Speed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Summary'!$B$2</c:f>
              <c:strCache>
                <c:ptCount val="1"/>
                <c:pt idx="0">
                  <c:v>bpm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'Data Summary'!$C$3:$C$7</c:f>
                <c:numCache>
                  <c:formatCode>General</c:formatCode>
                  <c:ptCount val="5"/>
                  <c:pt idx="0">
                    <c:v>4.8354054051736526</c:v>
                  </c:pt>
                  <c:pt idx="1">
                    <c:v>5.969998426907047</c:v>
                  </c:pt>
                  <c:pt idx="2">
                    <c:v>7.8663086701593627</c:v>
                  </c:pt>
                  <c:pt idx="3">
                    <c:v>10.876230117440507</c:v>
                  </c:pt>
                  <c:pt idx="4">
                    <c:v>9.1508649349417936</c:v>
                  </c:pt>
                </c:numCache>
              </c:numRef>
            </c:plus>
            <c:minus>
              <c:numRef>
                <c:f>'Data Summary'!$C$3:$C$7</c:f>
                <c:numCache>
                  <c:formatCode>General</c:formatCode>
                  <c:ptCount val="5"/>
                  <c:pt idx="0">
                    <c:v>4.8354054051736526</c:v>
                  </c:pt>
                  <c:pt idx="1">
                    <c:v>5.969998426907047</c:v>
                  </c:pt>
                  <c:pt idx="2">
                    <c:v>7.8663086701593627</c:v>
                  </c:pt>
                  <c:pt idx="3">
                    <c:v>10.876230117440507</c:v>
                  </c:pt>
                  <c:pt idx="4">
                    <c:v>9.1508649349417936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'Data Summary'!$A$3:$A$7</c:f>
              <c:numCache>
                <c:formatCode>General</c:formatCode>
                <c:ptCount val="5"/>
                <c:pt idx="0">
                  <c:v>0.4</c:v>
                </c:pt>
                <c:pt idx="1">
                  <c:v>0.5</c:v>
                </c:pt>
                <c:pt idx="2">
                  <c:v>0.6</c:v>
                </c:pt>
                <c:pt idx="3">
                  <c:v>0.75</c:v>
                </c:pt>
                <c:pt idx="4">
                  <c:v>1</c:v>
                </c:pt>
              </c:numCache>
            </c:numRef>
          </c:xVal>
          <c:yVal>
            <c:numRef>
              <c:f>'Data Summary'!$B$3:$B$7</c:f>
              <c:numCache>
                <c:formatCode>General</c:formatCode>
                <c:ptCount val="5"/>
                <c:pt idx="0">
                  <c:v>28.2021151586369</c:v>
                </c:pt>
                <c:pt idx="1">
                  <c:v>43.082446467495828</c:v>
                </c:pt>
                <c:pt idx="2">
                  <c:v>43.807040417209905</c:v>
                </c:pt>
                <c:pt idx="3">
                  <c:v>53.063802905874915</c:v>
                </c:pt>
                <c:pt idx="4">
                  <c:v>70.48458149779735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DB-4054-AFFE-F1DC91BC8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5470928"/>
        <c:axId val="995470568"/>
      </c:scatterChart>
      <c:valAx>
        <c:axId val="995470928"/>
        <c:scaling>
          <c:orientation val="minMax"/>
          <c:min val="0.300000000000000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470568"/>
        <c:crosses val="autoZero"/>
        <c:crossBetween val="midCat"/>
      </c:valAx>
      <c:valAx>
        <c:axId val="995470568"/>
        <c:scaling>
          <c:orientation val="minMax"/>
          <c:max val="90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470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Successful Delivery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Summary'!$G$2</c:f>
              <c:strCache>
                <c:ptCount val="1"/>
                <c:pt idx="0">
                  <c:v>bpm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'Data Summary'!$C$3:$C$7</c:f>
                <c:numCache>
                  <c:formatCode>General</c:formatCode>
                  <c:ptCount val="5"/>
                  <c:pt idx="0">
                    <c:v>4.8354054051736526</c:v>
                  </c:pt>
                  <c:pt idx="1">
                    <c:v>5.969998426907047</c:v>
                  </c:pt>
                  <c:pt idx="2">
                    <c:v>7.8663086701593627</c:v>
                  </c:pt>
                  <c:pt idx="3">
                    <c:v>10.876230117440507</c:v>
                  </c:pt>
                  <c:pt idx="4">
                    <c:v>9.1508649349417936</c:v>
                  </c:pt>
                </c:numCache>
              </c:numRef>
            </c:plus>
            <c:minus>
              <c:numRef>
                <c:f>'Data Summary'!$C$3:$C$7</c:f>
                <c:numCache>
                  <c:formatCode>General</c:formatCode>
                  <c:ptCount val="5"/>
                  <c:pt idx="0">
                    <c:v>4.8354054051736526</c:v>
                  </c:pt>
                  <c:pt idx="1">
                    <c:v>5.969998426907047</c:v>
                  </c:pt>
                  <c:pt idx="2">
                    <c:v>7.8663086701593627</c:v>
                  </c:pt>
                  <c:pt idx="3">
                    <c:v>10.876230117440507</c:v>
                  </c:pt>
                  <c:pt idx="4">
                    <c:v>9.1508649349417936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'Data Summary'!$A$3:$A$7</c:f>
              <c:numCache>
                <c:formatCode>General</c:formatCode>
                <c:ptCount val="5"/>
                <c:pt idx="0">
                  <c:v>0.4</c:v>
                </c:pt>
                <c:pt idx="1">
                  <c:v>0.5</c:v>
                </c:pt>
                <c:pt idx="2">
                  <c:v>0.6</c:v>
                </c:pt>
                <c:pt idx="3">
                  <c:v>0.75</c:v>
                </c:pt>
                <c:pt idx="4">
                  <c:v>1</c:v>
                </c:pt>
              </c:numCache>
            </c:numRef>
          </c:xVal>
          <c:yVal>
            <c:numRef>
              <c:f>'Data Summary'!$G$3:$G$7</c:f>
              <c:numCache>
                <c:formatCode>General</c:formatCode>
                <c:ptCount val="5"/>
                <c:pt idx="0">
                  <c:v>27.182300002028853</c:v>
                </c:pt>
                <c:pt idx="1">
                  <c:v>41.037792590157991</c:v>
                </c:pt>
                <c:pt idx="2">
                  <c:v>40.411629971467349</c:v>
                </c:pt>
                <c:pt idx="3">
                  <c:v>45.179459072462883</c:v>
                </c:pt>
                <c:pt idx="4">
                  <c:v>53.778556289612531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D0-49DA-8397-514469366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5470928"/>
        <c:axId val="995470568"/>
      </c:scatterChart>
      <c:valAx>
        <c:axId val="995470928"/>
        <c:scaling>
          <c:orientation val="minMax"/>
          <c:min val="0.300000000000000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470568"/>
        <c:crosses val="autoZero"/>
        <c:crossBetween val="midCat"/>
        <c:majorUnit val="0.1"/>
      </c:valAx>
      <c:valAx>
        <c:axId val="995470568"/>
        <c:scaling>
          <c:orientation val="minMax"/>
          <c:max val="90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470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Autonomous</a:t>
            </a:r>
            <a:r>
              <a:rPr lang="en-US" baseline="0"/>
              <a:t> </a:t>
            </a:r>
          </a:p>
          <a:p>
            <a:pPr>
              <a:defRPr/>
            </a:pPr>
            <a:r>
              <a:rPr lang="en-US"/>
              <a:t>Probability</a:t>
            </a:r>
            <a:r>
              <a:rPr lang="en-US" baseline="0"/>
              <a:t> of Delivering 8 Balls in 12 seconds</a:t>
            </a:r>
            <a:endParaRPr lang="en-US"/>
          </a:p>
        </c:rich>
      </c:tx>
      <c:layout>
        <c:manualLayout>
          <c:xMode val="edge"/>
          <c:yMode val="edge"/>
          <c:x val="0.15213888888888885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 Summary'!$A$3:$A$7</c:f>
              <c:numCache>
                <c:formatCode>General</c:formatCode>
                <c:ptCount val="5"/>
                <c:pt idx="0">
                  <c:v>0.4</c:v>
                </c:pt>
                <c:pt idx="1">
                  <c:v>0.5</c:v>
                </c:pt>
                <c:pt idx="2">
                  <c:v>0.6</c:v>
                </c:pt>
                <c:pt idx="3">
                  <c:v>0.75</c:v>
                </c:pt>
                <c:pt idx="4">
                  <c:v>1</c:v>
                </c:pt>
              </c:numCache>
            </c:numRef>
          </c:xVal>
          <c:yVal>
            <c:numRef>
              <c:f>'Data Summary'!$T$3:$T$7</c:f>
              <c:numCache>
                <c:formatCode>General</c:formatCode>
                <c:ptCount val="5"/>
                <c:pt idx="0">
                  <c:v>2.2150867841099653E-2</c:v>
                </c:pt>
                <c:pt idx="1">
                  <c:v>0.56892161146072384</c:v>
                </c:pt>
                <c:pt idx="2">
                  <c:v>0.44592929414890059</c:v>
                </c:pt>
                <c:pt idx="3">
                  <c:v>0.25151132404853804</c:v>
                </c:pt>
                <c:pt idx="4">
                  <c:v>0.12287379711403668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FB-4346-8CA1-41FAF5781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9573408"/>
        <c:axId val="1069573768"/>
      </c:scatterChart>
      <c:valAx>
        <c:axId val="1069573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573768"/>
        <c:crosses val="autoZero"/>
        <c:crossBetween val="midCat"/>
      </c:valAx>
      <c:valAx>
        <c:axId val="106957376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573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Shooting</a:t>
            </a:r>
            <a:r>
              <a:rPr lang="en-US" baseline="0"/>
              <a:t> Distance</a:t>
            </a:r>
            <a:endParaRPr lang="en-US"/>
          </a:p>
        </c:rich>
      </c:tx>
      <c:layout>
        <c:manualLayout>
          <c:xMode val="edge"/>
          <c:yMode val="edge"/>
          <c:x val="0.3285345581802274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'Data Summary'!$E$3:$E$7</c:f>
                <c:numCache>
                  <c:formatCode>General</c:formatCode>
                  <c:ptCount val="5"/>
                  <c:pt idx="0">
                    <c:v>10.207086527732368</c:v>
                  </c:pt>
                  <c:pt idx="1">
                    <c:v>10.788626455779969</c:v>
                  </c:pt>
                  <c:pt idx="2">
                    <c:v>12.113882690787202</c:v>
                  </c:pt>
                  <c:pt idx="3">
                    <c:v>14.803845654215872</c:v>
                  </c:pt>
                  <c:pt idx="4">
                    <c:v>18.084927851241634</c:v>
                  </c:pt>
                </c:numCache>
              </c:numRef>
            </c:plus>
            <c:minus>
              <c:numRef>
                <c:f>'Data Summary'!$E$3:$E$7</c:f>
                <c:numCache>
                  <c:formatCode>General</c:formatCode>
                  <c:ptCount val="5"/>
                  <c:pt idx="0">
                    <c:v>10.207086527732368</c:v>
                  </c:pt>
                  <c:pt idx="1">
                    <c:v>10.788626455779969</c:v>
                  </c:pt>
                  <c:pt idx="2">
                    <c:v>12.113882690787202</c:v>
                  </c:pt>
                  <c:pt idx="3">
                    <c:v>14.803845654215872</c:v>
                  </c:pt>
                  <c:pt idx="4">
                    <c:v>18.084927851241634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'Data Summary'!$A$3:$A$7</c:f>
              <c:numCache>
                <c:formatCode>General</c:formatCode>
                <c:ptCount val="5"/>
                <c:pt idx="0">
                  <c:v>0.4</c:v>
                </c:pt>
                <c:pt idx="1">
                  <c:v>0.5</c:v>
                </c:pt>
                <c:pt idx="2">
                  <c:v>0.6</c:v>
                </c:pt>
                <c:pt idx="3">
                  <c:v>0.75</c:v>
                </c:pt>
                <c:pt idx="4">
                  <c:v>1</c:v>
                </c:pt>
              </c:numCache>
            </c:numRef>
          </c:xVal>
          <c:yVal>
            <c:numRef>
              <c:f>'Data Summary'!$D$3:$D$7</c:f>
              <c:numCache>
                <c:formatCode>General</c:formatCode>
                <c:ptCount val="5"/>
                <c:pt idx="0">
                  <c:v>67.769230769230774</c:v>
                </c:pt>
                <c:pt idx="1">
                  <c:v>68.5311004784689</c:v>
                </c:pt>
                <c:pt idx="2">
                  <c:v>65.115384615384613</c:v>
                </c:pt>
                <c:pt idx="3">
                  <c:v>56.666666666666664</c:v>
                </c:pt>
                <c:pt idx="4">
                  <c:v>41.769230769230766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BC-43FD-A6C6-FAE93CCFF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5035368"/>
        <c:axId val="840042616"/>
      </c:scatterChart>
      <c:valAx>
        <c:axId val="665035368"/>
        <c:scaling>
          <c:orientation val="minMax"/>
          <c:min val="0.300000000000000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042616"/>
        <c:crosses val="autoZero"/>
        <c:crossBetween val="midCat"/>
      </c:valAx>
      <c:valAx>
        <c:axId val="840042616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035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upload.wikimedia.org/wikipedia/commons/8/8c/Standard_deviation_diagram.svg" TargetMode="Externa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0</xdr:row>
      <xdr:rowOff>69850</xdr:rowOff>
    </xdr:from>
    <xdr:to>
      <xdr:col>16</xdr:col>
      <xdr:colOff>393700</xdr:colOff>
      <xdr:row>12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D038FD-6821-4B13-8114-49F47C59E4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400050</xdr:colOff>
      <xdr:row>13</xdr:row>
      <xdr:rowOff>19050</xdr:rowOff>
    </xdr:from>
    <xdr:to>
      <xdr:col>16</xdr:col>
      <xdr:colOff>158750</xdr:colOff>
      <xdr:row>26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320FA8-5AC3-4695-B7CE-3635535773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425450</xdr:colOff>
      <xdr:row>0</xdr:row>
      <xdr:rowOff>76200</xdr:rowOff>
    </xdr:from>
    <xdr:to>
      <xdr:col>14</xdr:col>
      <xdr:colOff>476250</xdr:colOff>
      <xdr:row>12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640688-F6B4-1CDC-0B40-F6464E2596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425450</xdr:colOff>
      <xdr:row>13</xdr:row>
      <xdr:rowOff>44450</xdr:rowOff>
    </xdr:from>
    <xdr:to>
      <xdr:col>14</xdr:col>
      <xdr:colOff>476250</xdr:colOff>
      <xdr:row>26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5379211-1CA7-4085-B19F-B62AE8F70F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2</xdr:row>
      <xdr:rowOff>161925</xdr:rowOff>
    </xdr:from>
    <xdr:to>
      <xdr:col>12</xdr:col>
      <xdr:colOff>26669</xdr:colOff>
      <xdr:row>20</xdr:row>
      <xdr:rowOff>53341</xdr:rowOff>
    </xdr:to>
    <xdr:pic>
      <xdr:nvPicPr>
        <xdr:cNvPr id="2" name="Picture 1" descr="File:Standard deviation diagram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01FD97-27A8-4ACD-8CE0-489A5012E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76250" y="809625"/>
          <a:ext cx="6856094" cy="3320416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388326</xdr:colOff>
      <xdr:row>1</xdr:row>
      <xdr:rowOff>65941</xdr:rowOff>
    </xdr:from>
    <xdr:to>
      <xdr:col>9</xdr:col>
      <xdr:colOff>241787</xdr:colOff>
      <xdr:row>13</xdr:row>
      <xdr:rowOff>109902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D1843A-83DF-4175-95CB-8EF13CD42D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781050</xdr:colOff>
      <xdr:row>1</xdr:row>
      <xdr:rowOff>142875</xdr:rowOff>
    </xdr:from>
    <xdr:to>
      <xdr:col>8</xdr:col>
      <xdr:colOff>1133475</xdr:colOff>
      <xdr:row>20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B749D7-E617-4D61-BF03-9BB7E4B5EE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204787</xdr:colOff>
      <xdr:row>1</xdr:row>
      <xdr:rowOff>9531</xdr:rowOff>
    </xdr:from>
    <xdr:to>
      <xdr:col>8</xdr:col>
      <xdr:colOff>461962</xdr:colOff>
      <xdr:row>15</xdr:row>
      <xdr:rowOff>85731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461637-F91D-5876-CBAB-FFCBBBD528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238124</xdr:colOff>
      <xdr:row>14</xdr:row>
      <xdr:rowOff>85724</xdr:rowOff>
    </xdr:from>
    <xdr:to>
      <xdr:col>16</xdr:col>
      <xdr:colOff>161924</xdr:colOff>
      <xdr:row>33</xdr:row>
      <xdr:rowOff>171449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856EA1-8620-D79C-CB40-40EC1FA37B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119062</xdr:colOff>
      <xdr:row>7</xdr:row>
      <xdr:rowOff>123825</xdr:rowOff>
    </xdr:from>
    <xdr:to>
      <xdr:col>23</xdr:col>
      <xdr:colOff>423862</xdr:colOff>
      <xdr:row>22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6900FFF-5000-0CD5-49AB-854B38AFD9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319087</xdr:colOff>
      <xdr:row>9</xdr:row>
      <xdr:rowOff>161925</xdr:rowOff>
    </xdr:from>
    <xdr:to>
      <xdr:col>6</xdr:col>
      <xdr:colOff>57150</xdr:colOff>
      <xdr:row>24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CC744E-77B2-1415-6A6C-0C455E54BF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257175</xdr:colOff>
      <xdr:row>9</xdr:row>
      <xdr:rowOff>152400</xdr:rowOff>
    </xdr:from>
    <xdr:to>
      <xdr:col>12</xdr:col>
      <xdr:colOff>285750</xdr:colOff>
      <xdr:row>24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5FDA9A-B574-4662-ABE3-A971E388D1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414337</xdr:colOff>
      <xdr:row>8</xdr:row>
      <xdr:rowOff>171450</xdr:rowOff>
    </xdr:from>
    <xdr:to>
      <xdr:col>21</xdr:col>
      <xdr:colOff>109537</xdr:colOff>
      <xdr:row>23</xdr:row>
      <xdr:rowOff>57150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7176C46-7608-BEFE-8A8C-EABD4F909F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319087</xdr:colOff>
      <xdr:row>25</xdr:row>
      <xdr:rowOff>19050</xdr:rowOff>
    </xdr:from>
    <xdr:to>
      <xdr:col>6</xdr:col>
      <xdr:colOff>57150</xdr:colOff>
      <xdr:row>39</xdr:row>
      <xdr:rowOff>95250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3E651B7-72FE-D5E5-8E3A-56E8A7A572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03931-F8AC-41D1-AE65-6A021C163DBF}">
  <dimension ref="A1:F731"/>
  <sheetViews>
    <sheetView zoomScale="150" zoomScaleNormal="150" workbookViewId="0">
      <selection activeCell="E10" sqref="E10"/>
    </sheetView>
  </sheetViews>
  <sheetFormatPr defaultRowHeight="15" x14ac:dyDescent="0.25"/>
  <cols>
    <col min="1" max="1" width="18.28515625" customWidth="1"/>
    <col min="2" max="2" width="9.140625" style="2" customWidth="1"/>
    <col min="3" max="3" width="16.140625" style="2" customWidth="1"/>
    <col min="4" max="4" width="10.7109375" style="2" customWidth="1"/>
    <col min="5" max="5" width="7.140625" style="2" customWidth="1"/>
    <col min="6" max="6" width="6.7109375" style="2" customWidth="1"/>
  </cols>
  <sheetData>
    <row r="1" spans="1:5" x14ac:dyDescent="0.25">
      <c r="A1" t="s">
        <v>6</v>
      </c>
      <c r="B1" s="2">
        <v>0.02</v>
      </c>
      <c r="C1" s="2" t="s">
        <v>7</v>
      </c>
    </row>
    <row r="2" spans="1:5" x14ac:dyDescent="0.25">
      <c r="A2" t="s">
        <v>1</v>
      </c>
      <c r="B2" s="2">
        <v>149</v>
      </c>
      <c r="C2" s="2" t="s">
        <v>10</v>
      </c>
    </row>
    <row r="3" spans="1:5" s="2" customFormat="1" x14ac:dyDescent="0.25">
      <c r="A3" t="s">
        <v>4</v>
      </c>
      <c r="B3" s="3">
        <v>0.5</v>
      </c>
      <c r="C3" s="2" t="s">
        <v>5</v>
      </c>
      <c r="D3" s="2" t="s">
        <v>22</v>
      </c>
    </row>
    <row r="4" spans="1:5" s="2" customFormat="1" x14ac:dyDescent="0.25">
      <c r="A4" t="s">
        <v>31</v>
      </c>
      <c r="B4" s="3">
        <v>360</v>
      </c>
    </row>
    <row r="5" spans="1:5" s="2" customFormat="1" x14ac:dyDescent="0.25">
      <c r="A5" t="s">
        <v>32</v>
      </c>
      <c r="B5" s="4">
        <f>(B4/360)*21.5*PI()</f>
        <v>67.54424205218055</v>
      </c>
      <c r="C5" s="2" t="s">
        <v>16</v>
      </c>
      <c r="D5" s="2" t="s">
        <v>24</v>
      </c>
    </row>
    <row r="6" spans="1:5" s="2" customFormat="1" x14ac:dyDescent="0.25">
      <c r="A6" s="5" t="s">
        <v>0</v>
      </c>
      <c r="B6" s="5">
        <f>B5/12</f>
        <v>5.6286868376817125</v>
      </c>
      <c r="C6" s="5" t="s">
        <v>3</v>
      </c>
    </row>
    <row r="7" spans="1:5" s="2" customFormat="1" x14ac:dyDescent="0.25">
      <c r="A7" t="s">
        <v>14</v>
      </c>
      <c r="B7" s="3">
        <v>300</v>
      </c>
      <c r="C7" s="2" t="s">
        <v>11</v>
      </c>
      <c r="D7" s="2" t="s">
        <v>23</v>
      </c>
    </row>
    <row r="8" spans="1:5" s="2" customFormat="1" x14ac:dyDescent="0.25">
      <c r="A8" t="s">
        <v>21</v>
      </c>
      <c r="B8" s="4">
        <f>B7*B1/B2</f>
        <v>4.0268456375838924E-2</v>
      </c>
    </row>
    <row r="9" spans="1:5" s="2" customFormat="1" x14ac:dyDescent="0.25">
      <c r="A9" t="s">
        <v>17</v>
      </c>
      <c r="B9" s="4">
        <f>B3*B2</f>
        <v>74.5</v>
      </c>
      <c r="C9" s="2" t="s">
        <v>9</v>
      </c>
    </row>
    <row r="10" spans="1:5" s="2" customFormat="1" x14ac:dyDescent="0.25">
      <c r="A10" t="s">
        <v>15</v>
      </c>
      <c r="B10" s="4">
        <f>SQRT(B7*B5)</f>
        <v>142.34912228620928</v>
      </c>
      <c r="C10" s="2" t="s">
        <v>9</v>
      </c>
    </row>
    <row r="11" spans="1:5" s="2" customFormat="1" x14ac:dyDescent="0.25">
      <c r="A11" s="7" t="s">
        <v>8</v>
      </c>
      <c r="B11" s="4">
        <f>MIN(B9:B10)</f>
        <v>74.5</v>
      </c>
      <c r="C11" s="2" t="s">
        <v>9</v>
      </c>
    </row>
    <row r="12" spans="1:5" s="2" customFormat="1" x14ac:dyDescent="0.25">
      <c r="A12" t="s">
        <v>27</v>
      </c>
      <c r="B12" s="1">
        <f>B11/B2</f>
        <v>0.5</v>
      </c>
      <c r="C12"/>
      <c r="D12" s="11"/>
      <c r="E12" s="11"/>
    </row>
    <row r="13" spans="1:5" s="2" customFormat="1" x14ac:dyDescent="0.25">
      <c r="A13" t="s">
        <v>18</v>
      </c>
      <c r="B13">
        <f>B5/B11+B11/B7</f>
        <v>1.1549674548391125</v>
      </c>
      <c r="C13" s="2" t="s">
        <v>7</v>
      </c>
    </row>
    <row r="14" spans="1:5" s="2" customFormat="1" x14ac:dyDescent="0.25">
      <c r="A14" t="s">
        <v>25</v>
      </c>
      <c r="B14" s="4">
        <f>B11/B7</f>
        <v>0.24833333333333332</v>
      </c>
      <c r="C14" s="2" t="s">
        <v>7</v>
      </c>
    </row>
    <row r="15" spans="1:5" s="2" customFormat="1" x14ac:dyDescent="0.25">
      <c r="A15" t="s">
        <v>19</v>
      </c>
      <c r="B15" s="4">
        <f>B13-B14</f>
        <v>0.90663412150577916</v>
      </c>
      <c r="C15" s="2" t="s">
        <v>7</v>
      </c>
    </row>
    <row r="16" spans="1:5" s="2" customFormat="1" x14ac:dyDescent="0.25">
      <c r="A16" t="s">
        <v>26</v>
      </c>
      <c r="B16" s="6">
        <f>D731</f>
        <v>67.050000000000011</v>
      </c>
      <c r="C16" s="2" t="s">
        <v>12</v>
      </c>
    </row>
    <row r="17" spans="1:6" x14ac:dyDescent="0.25">
      <c r="A17" t="s">
        <v>2</v>
      </c>
      <c r="B17" s="6">
        <f>D731-B5</f>
        <v>-0.49424205218053885</v>
      </c>
      <c r="C17" s="2" t="s">
        <v>12</v>
      </c>
    </row>
    <row r="19" spans="1:6" x14ac:dyDescent="0.25">
      <c r="A19" t="s">
        <v>13</v>
      </c>
      <c r="B19" s="2" t="s">
        <v>4</v>
      </c>
      <c r="C19" s="2" t="s">
        <v>20</v>
      </c>
      <c r="D19" s="2" t="s">
        <v>0</v>
      </c>
      <c r="F19"/>
    </row>
    <row r="20" spans="1:6" x14ac:dyDescent="0.25">
      <c r="A20">
        <f>B20/12</f>
        <v>0</v>
      </c>
      <c r="B20" s="2">
        <v>0</v>
      </c>
      <c r="C20" s="2">
        <f>B20*B2</f>
        <v>0</v>
      </c>
      <c r="D20" s="2">
        <v>0</v>
      </c>
      <c r="F20"/>
    </row>
    <row r="21" spans="1:6" x14ac:dyDescent="0.25">
      <c r="A21">
        <f>A20+$B$1</f>
        <v>0.02</v>
      </c>
      <c r="B21" s="2">
        <f t="shared" ref="B21:B84" si="0">MAX(0,IF(A21&lt;$B$14,B20+$B$8,IF(AND(A21&gt;=$B$14,A21&lt;=$B$15),$B$11/$B$2,B20-$B$8)))</f>
        <v>4.0268456375838924E-2</v>
      </c>
      <c r="C21" s="2">
        <f>B21*$B$2</f>
        <v>6</v>
      </c>
      <c r="D21" s="2">
        <f>D20+C20*$B$1</f>
        <v>0</v>
      </c>
    </row>
    <row r="22" spans="1:6" x14ac:dyDescent="0.25">
      <c r="A22">
        <f t="shared" ref="A22:A85" si="1">A21+$B$1</f>
        <v>0.04</v>
      </c>
      <c r="B22" s="2">
        <f t="shared" si="0"/>
        <v>8.0536912751677847E-2</v>
      </c>
      <c r="C22" s="2">
        <f t="shared" ref="C22:C85" si="2">B22*$B$2</f>
        <v>12</v>
      </c>
      <c r="D22" s="2">
        <f t="shared" ref="D22:D85" si="3">D21+C21*$B$1</f>
        <v>0.12</v>
      </c>
    </row>
    <row r="23" spans="1:6" x14ac:dyDescent="0.25">
      <c r="A23">
        <f t="shared" si="1"/>
        <v>0.06</v>
      </c>
      <c r="B23" s="2">
        <f t="shared" si="0"/>
        <v>0.12080536912751677</v>
      </c>
      <c r="C23" s="2">
        <f t="shared" si="2"/>
        <v>18</v>
      </c>
      <c r="D23" s="2">
        <f t="shared" si="3"/>
        <v>0.36</v>
      </c>
    </row>
    <row r="24" spans="1:6" x14ac:dyDescent="0.25">
      <c r="A24">
        <f t="shared" si="1"/>
        <v>0.08</v>
      </c>
      <c r="B24" s="2">
        <f t="shared" si="0"/>
        <v>0.16107382550335569</v>
      </c>
      <c r="C24" s="2">
        <f t="shared" si="2"/>
        <v>24</v>
      </c>
      <c r="D24" s="2">
        <f t="shared" si="3"/>
        <v>0.72</v>
      </c>
    </row>
    <row r="25" spans="1:6" x14ac:dyDescent="0.25">
      <c r="A25">
        <f t="shared" si="1"/>
        <v>0.1</v>
      </c>
      <c r="B25" s="2">
        <f t="shared" si="0"/>
        <v>0.20134228187919462</v>
      </c>
      <c r="C25" s="2">
        <f t="shared" si="2"/>
        <v>29.999999999999996</v>
      </c>
      <c r="D25" s="2">
        <f t="shared" si="3"/>
        <v>1.2</v>
      </c>
    </row>
    <row r="26" spans="1:6" x14ac:dyDescent="0.25">
      <c r="A26">
        <f t="shared" si="1"/>
        <v>0.12000000000000001</v>
      </c>
      <c r="B26" s="2">
        <f t="shared" si="0"/>
        <v>0.24161073825503354</v>
      </c>
      <c r="C26" s="2">
        <f t="shared" si="2"/>
        <v>36</v>
      </c>
      <c r="D26" s="2">
        <f t="shared" si="3"/>
        <v>1.7999999999999998</v>
      </c>
    </row>
    <row r="27" spans="1:6" x14ac:dyDescent="0.25">
      <c r="A27">
        <f t="shared" si="1"/>
        <v>0.14000000000000001</v>
      </c>
      <c r="B27" s="2">
        <f t="shared" si="0"/>
        <v>0.28187919463087246</v>
      </c>
      <c r="C27" s="2">
        <f t="shared" si="2"/>
        <v>42</v>
      </c>
      <c r="D27" s="2">
        <f t="shared" si="3"/>
        <v>2.5199999999999996</v>
      </c>
    </row>
    <row r="28" spans="1:6" x14ac:dyDescent="0.25">
      <c r="A28">
        <f t="shared" si="1"/>
        <v>0.16</v>
      </c>
      <c r="B28" s="2">
        <f t="shared" si="0"/>
        <v>0.32214765100671139</v>
      </c>
      <c r="C28" s="2">
        <f t="shared" si="2"/>
        <v>48</v>
      </c>
      <c r="D28" s="2">
        <f t="shared" si="3"/>
        <v>3.3599999999999994</v>
      </c>
    </row>
    <row r="29" spans="1:6" x14ac:dyDescent="0.25">
      <c r="A29">
        <f t="shared" si="1"/>
        <v>0.18</v>
      </c>
      <c r="B29" s="2">
        <f t="shared" si="0"/>
        <v>0.36241610738255031</v>
      </c>
      <c r="C29" s="2">
        <f t="shared" si="2"/>
        <v>54</v>
      </c>
      <c r="D29" s="2">
        <f t="shared" si="3"/>
        <v>4.3199999999999994</v>
      </c>
    </row>
    <row r="30" spans="1:6" x14ac:dyDescent="0.25">
      <c r="A30">
        <f t="shared" si="1"/>
        <v>0.19999999999999998</v>
      </c>
      <c r="B30" s="2">
        <f t="shared" si="0"/>
        <v>0.40268456375838924</v>
      </c>
      <c r="C30" s="2">
        <f t="shared" si="2"/>
        <v>59.999999999999993</v>
      </c>
      <c r="D30" s="2">
        <f t="shared" si="3"/>
        <v>5.3999999999999995</v>
      </c>
    </row>
    <row r="31" spans="1:6" x14ac:dyDescent="0.25">
      <c r="A31">
        <f t="shared" si="1"/>
        <v>0.21999999999999997</v>
      </c>
      <c r="B31" s="2">
        <f t="shared" si="0"/>
        <v>0.44295302013422816</v>
      </c>
      <c r="C31" s="2">
        <f t="shared" si="2"/>
        <v>66</v>
      </c>
      <c r="D31" s="2">
        <f t="shared" si="3"/>
        <v>6.6</v>
      </c>
    </row>
    <row r="32" spans="1:6" x14ac:dyDescent="0.25">
      <c r="A32">
        <f t="shared" si="1"/>
        <v>0.23999999999999996</v>
      </c>
      <c r="B32" s="2">
        <f t="shared" si="0"/>
        <v>0.48322147651006708</v>
      </c>
      <c r="C32" s="2">
        <f t="shared" si="2"/>
        <v>72</v>
      </c>
      <c r="D32" s="2">
        <f t="shared" si="3"/>
        <v>7.92</v>
      </c>
    </row>
    <row r="33" spans="1:4" s="2" customFormat="1" x14ac:dyDescent="0.25">
      <c r="A33">
        <f t="shared" si="1"/>
        <v>0.25999999999999995</v>
      </c>
      <c r="B33" s="2">
        <f t="shared" si="0"/>
        <v>0.5</v>
      </c>
      <c r="C33" s="2">
        <f t="shared" si="2"/>
        <v>74.5</v>
      </c>
      <c r="D33" s="2">
        <f t="shared" si="3"/>
        <v>9.36</v>
      </c>
    </row>
    <row r="34" spans="1:4" s="2" customFormat="1" x14ac:dyDescent="0.25">
      <c r="A34">
        <f t="shared" si="1"/>
        <v>0.27999999999999997</v>
      </c>
      <c r="B34" s="2">
        <f t="shared" si="0"/>
        <v>0.5</v>
      </c>
      <c r="C34" s="2">
        <f t="shared" si="2"/>
        <v>74.5</v>
      </c>
      <c r="D34" s="2">
        <f t="shared" si="3"/>
        <v>10.85</v>
      </c>
    </row>
    <row r="35" spans="1:4" s="2" customFormat="1" x14ac:dyDescent="0.25">
      <c r="A35">
        <f t="shared" si="1"/>
        <v>0.3</v>
      </c>
      <c r="B35" s="2">
        <f t="shared" si="0"/>
        <v>0.5</v>
      </c>
      <c r="C35" s="2">
        <f t="shared" si="2"/>
        <v>74.5</v>
      </c>
      <c r="D35" s="2">
        <f t="shared" si="3"/>
        <v>12.34</v>
      </c>
    </row>
    <row r="36" spans="1:4" s="2" customFormat="1" x14ac:dyDescent="0.25">
      <c r="A36">
        <f t="shared" si="1"/>
        <v>0.32</v>
      </c>
      <c r="B36" s="2">
        <f t="shared" si="0"/>
        <v>0.5</v>
      </c>
      <c r="C36" s="2">
        <f t="shared" si="2"/>
        <v>74.5</v>
      </c>
      <c r="D36" s="2">
        <f t="shared" si="3"/>
        <v>13.83</v>
      </c>
    </row>
    <row r="37" spans="1:4" s="2" customFormat="1" x14ac:dyDescent="0.25">
      <c r="A37">
        <f t="shared" si="1"/>
        <v>0.34</v>
      </c>
      <c r="B37" s="2">
        <f t="shared" si="0"/>
        <v>0.5</v>
      </c>
      <c r="C37" s="2">
        <f t="shared" si="2"/>
        <v>74.5</v>
      </c>
      <c r="D37" s="2">
        <f t="shared" si="3"/>
        <v>15.32</v>
      </c>
    </row>
    <row r="38" spans="1:4" s="2" customFormat="1" x14ac:dyDescent="0.25">
      <c r="A38">
        <f t="shared" si="1"/>
        <v>0.36000000000000004</v>
      </c>
      <c r="B38" s="2">
        <f t="shared" si="0"/>
        <v>0.5</v>
      </c>
      <c r="C38" s="2">
        <f t="shared" si="2"/>
        <v>74.5</v>
      </c>
      <c r="D38" s="2">
        <f t="shared" si="3"/>
        <v>16.809999999999999</v>
      </c>
    </row>
    <row r="39" spans="1:4" s="2" customFormat="1" x14ac:dyDescent="0.25">
      <c r="A39">
        <f t="shared" si="1"/>
        <v>0.38000000000000006</v>
      </c>
      <c r="B39" s="2">
        <f t="shared" si="0"/>
        <v>0.5</v>
      </c>
      <c r="C39" s="2">
        <f t="shared" si="2"/>
        <v>74.5</v>
      </c>
      <c r="D39" s="2">
        <f t="shared" si="3"/>
        <v>18.299999999999997</v>
      </c>
    </row>
    <row r="40" spans="1:4" s="2" customFormat="1" x14ac:dyDescent="0.25">
      <c r="A40">
        <f t="shared" si="1"/>
        <v>0.40000000000000008</v>
      </c>
      <c r="B40" s="2">
        <f t="shared" si="0"/>
        <v>0.5</v>
      </c>
      <c r="C40" s="2">
        <f t="shared" si="2"/>
        <v>74.5</v>
      </c>
      <c r="D40" s="2">
        <f t="shared" si="3"/>
        <v>19.789999999999996</v>
      </c>
    </row>
    <row r="41" spans="1:4" s="2" customFormat="1" x14ac:dyDescent="0.25">
      <c r="A41">
        <f t="shared" si="1"/>
        <v>0.4200000000000001</v>
      </c>
      <c r="B41" s="2">
        <f t="shared" si="0"/>
        <v>0.5</v>
      </c>
      <c r="C41" s="2">
        <f t="shared" si="2"/>
        <v>74.5</v>
      </c>
      <c r="D41" s="2">
        <f t="shared" si="3"/>
        <v>21.279999999999994</v>
      </c>
    </row>
    <row r="42" spans="1:4" s="2" customFormat="1" x14ac:dyDescent="0.25">
      <c r="A42">
        <f t="shared" si="1"/>
        <v>0.44000000000000011</v>
      </c>
      <c r="B42" s="2">
        <f t="shared" si="0"/>
        <v>0.5</v>
      </c>
      <c r="C42" s="2">
        <f t="shared" si="2"/>
        <v>74.5</v>
      </c>
      <c r="D42" s="2">
        <f t="shared" si="3"/>
        <v>22.769999999999992</v>
      </c>
    </row>
    <row r="43" spans="1:4" s="2" customFormat="1" x14ac:dyDescent="0.25">
      <c r="A43">
        <f t="shared" si="1"/>
        <v>0.46000000000000013</v>
      </c>
      <c r="B43" s="2">
        <f t="shared" si="0"/>
        <v>0.5</v>
      </c>
      <c r="C43" s="2">
        <f t="shared" si="2"/>
        <v>74.5</v>
      </c>
      <c r="D43" s="2">
        <f t="shared" si="3"/>
        <v>24.259999999999991</v>
      </c>
    </row>
    <row r="44" spans="1:4" s="2" customFormat="1" x14ac:dyDescent="0.25">
      <c r="A44">
        <f t="shared" si="1"/>
        <v>0.48000000000000015</v>
      </c>
      <c r="B44" s="2">
        <f t="shared" si="0"/>
        <v>0.5</v>
      </c>
      <c r="C44" s="2">
        <f t="shared" si="2"/>
        <v>74.5</v>
      </c>
      <c r="D44" s="2">
        <f t="shared" si="3"/>
        <v>25.749999999999989</v>
      </c>
    </row>
    <row r="45" spans="1:4" s="2" customFormat="1" x14ac:dyDescent="0.25">
      <c r="A45">
        <f t="shared" si="1"/>
        <v>0.50000000000000011</v>
      </c>
      <c r="B45" s="2">
        <f t="shared" si="0"/>
        <v>0.5</v>
      </c>
      <c r="C45" s="2">
        <f t="shared" si="2"/>
        <v>74.5</v>
      </c>
      <c r="D45" s="2">
        <f t="shared" si="3"/>
        <v>27.239999999999988</v>
      </c>
    </row>
    <row r="46" spans="1:4" s="2" customFormat="1" x14ac:dyDescent="0.25">
      <c r="A46">
        <f t="shared" si="1"/>
        <v>0.52000000000000013</v>
      </c>
      <c r="B46" s="2">
        <f t="shared" si="0"/>
        <v>0.5</v>
      </c>
      <c r="C46" s="2">
        <f t="shared" si="2"/>
        <v>74.5</v>
      </c>
      <c r="D46" s="2">
        <f t="shared" si="3"/>
        <v>28.729999999999986</v>
      </c>
    </row>
    <row r="47" spans="1:4" s="2" customFormat="1" x14ac:dyDescent="0.25">
      <c r="A47">
        <f t="shared" si="1"/>
        <v>0.54000000000000015</v>
      </c>
      <c r="B47" s="2">
        <f t="shared" si="0"/>
        <v>0.5</v>
      </c>
      <c r="C47" s="2">
        <f t="shared" si="2"/>
        <v>74.5</v>
      </c>
      <c r="D47" s="2">
        <f t="shared" si="3"/>
        <v>30.219999999999985</v>
      </c>
    </row>
    <row r="48" spans="1:4" s="2" customFormat="1" x14ac:dyDescent="0.25">
      <c r="A48">
        <f t="shared" si="1"/>
        <v>0.56000000000000016</v>
      </c>
      <c r="B48" s="2">
        <f t="shared" si="0"/>
        <v>0.5</v>
      </c>
      <c r="C48" s="2">
        <f t="shared" si="2"/>
        <v>74.5</v>
      </c>
      <c r="D48" s="2">
        <f t="shared" si="3"/>
        <v>31.709999999999983</v>
      </c>
    </row>
    <row r="49" spans="1:4" s="2" customFormat="1" x14ac:dyDescent="0.25">
      <c r="A49">
        <f t="shared" si="1"/>
        <v>0.58000000000000018</v>
      </c>
      <c r="B49" s="2">
        <f t="shared" si="0"/>
        <v>0.5</v>
      </c>
      <c r="C49" s="2">
        <f t="shared" si="2"/>
        <v>74.5</v>
      </c>
      <c r="D49" s="2">
        <f t="shared" si="3"/>
        <v>33.199999999999982</v>
      </c>
    </row>
    <row r="50" spans="1:4" s="2" customFormat="1" x14ac:dyDescent="0.25">
      <c r="A50">
        <f t="shared" si="1"/>
        <v>0.6000000000000002</v>
      </c>
      <c r="B50" s="2">
        <f t="shared" si="0"/>
        <v>0.5</v>
      </c>
      <c r="C50" s="2">
        <f t="shared" si="2"/>
        <v>74.5</v>
      </c>
      <c r="D50" s="2">
        <f t="shared" si="3"/>
        <v>34.689999999999984</v>
      </c>
    </row>
    <row r="51" spans="1:4" s="2" customFormat="1" x14ac:dyDescent="0.25">
      <c r="A51">
        <f t="shared" si="1"/>
        <v>0.62000000000000022</v>
      </c>
      <c r="B51" s="2">
        <f t="shared" si="0"/>
        <v>0.5</v>
      </c>
      <c r="C51" s="2">
        <f t="shared" si="2"/>
        <v>74.5</v>
      </c>
      <c r="D51" s="2">
        <f t="shared" si="3"/>
        <v>36.179999999999986</v>
      </c>
    </row>
    <row r="52" spans="1:4" s="2" customFormat="1" x14ac:dyDescent="0.25">
      <c r="A52">
        <f t="shared" si="1"/>
        <v>0.64000000000000024</v>
      </c>
      <c r="B52" s="2">
        <f t="shared" si="0"/>
        <v>0.5</v>
      </c>
      <c r="C52" s="2">
        <f t="shared" si="2"/>
        <v>74.5</v>
      </c>
      <c r="D52" s="2">
        <f t="shared" si="3"/>
        <v>37.669999999999987</v>
      </c>
    </row>
    <row r="53" spans="1:4" s="2" customFormat="1" x14ac:dyDescent="0.25">
      <c r="A53">
        <f t="shared" si="1"/>
        <v>0.66000000000000025</v>
      </c>
      <c r="B53" s="2">
        <f t="shared" si="0"/>
        <v>0.5</v>
      </c>
      <c r="C53" s="2">
        <f t="shared" si="2"/>
        <v>74.5</v>
      </c>
      <c r="D53" s="2">
        <f t="shared" si="3"/>
        <v>39.159999999999989</v>
      </c>
    </row>
    <row r="54" spans="1:4" s="2" customFormat="1" x14ac:dyDescent="0.25">
      <c r="A54">
        <f t="shared" si="1"/>
        <v>0.68000000000000027</v>
      </c>
      <c r="B54" s="2">
        <f t="shared" si="0"/>
        <v>0.5</v>
      </c>
      <c r="C54" s="2">
        <f t="shared" si="2"/>
        <v>74.5</v>
      </c>
      <c r="D54" s="2">
        <f t="shared" si="3"/>
        <v>40.649999999999991</v>
      </c>
    </row>
    <row r="55" spans="1:4" s="2" customFormat="1" x14ac:dyDescent="0.25">
      <c r="A55">
        <f t="shared" si="1"/>
        <v>0.70000000000000029</v>
      </c>
      <c r="B55" s="2">
        <f t="shared" si="0"/>
        <v>0.5</v>
      </c>
      <c r="C55" s="2">
        <f t="shared" si="2"/>
        <v>74.5</v>
      </c>
      <c r="D55" s="2">
        <f t="shared" si="3"/>
        <v>42.139999999999993</v>
      </c>
    </row>
    <row r="56" spans="1:4" s="2" customFormat="1" x14ac:dyDescent="0.25">
      <c r="A56">
        <f t="shared" si="1"/>
        <v>0.72000000000000031</v>
      </c>
      <c r="B56" s="2">
        <f t="shared" si="0"/>
        <v>0.5</v>
      </c>
      <c r="C56" s="2">
        <f t="shared" si="2"/>
        <v>74.5</v>
      </c>
      <c r="D56" s="2">
        <f t="shared" si="3"/>
        <v>43.629999999999995</v>
      </c>
    </row>
    <row r="57" spans="1:4" s="2" customFormat="1" x14ac:dyDescent="0.25">
      <c r="A57">
        <f t="shared" si="1"/>
        <v>0.74000000000000032</v>
      </c>
      <c r="B57" s="2">
        <f t="shared" si="0"/>
        <v>0.5</v>
      </c>
      <c r="C57" s="2">
        <f t="shared" si="2"/>
        <v>74.5</v>
      </c>
      <c r="D57" s="2">
        <f t="shared" si="3"/>
        <v>45.12</v>
      </c>
    </row>
    <row r="58" spans="1:4" s="2" customFormat="1" x14ac:dyDescent="0.25">
      <c r="A58">
        <f t="shared" si="1"/>
        <v>0.76000000000000034</v>
      </c>
      <c r="B58" s="2">
        <f t="shared" si="0"/>
        <v>0.5</v>
      </c>
      <c r="C58" s="2">
        <f t="shared" si="2"/>
        <v>74.5</v>
      </c>
      <c r="D58" s="2">
        <f t="shared" si="3"/>
        <v>46.61</v>
      </c>
    </row>
    <row r="59" spans="1:4" s="2" customFormat="1" x14ac:dyDescent="0.25">
      <c r="A59">
        <f t="shared" si="1"/>
        <v>0.78000000000000036</v>
      </c>
      <c r="B59" s="2">
        <f t="shared" si="0"/>
        <v>0.5</v>
      </c>
      <c r="C59" s="2">
        <f t="shared" si="2"/>
        <v>74.5</v>
      </c>
      <c r="D59" s="2">
        <f t="shared" si="3"/>
        <v>48.1</v>
      </c>
    </row>
    <row r="60" spans="1:4" s="2" customFormat="1" x14ac:dyDescent="0.25">
      <c r="A60">
        <f t="shared" si="1"/>
        <v>0.80000000000000038</v>
      </c>
      <c r="B60" s="2">
        <f t="shared" si="0"/>
        <v>0.5</v>
      </c>
      <c r="C60" s="2">
        <f t="shared" si="2"/>
        <v>74.5</v>
      </c>
      <c r="D60" s="2">
        <f t="shared" si="3"/>
        <v>49.59</v>
      </c>
    </row>
    <row r="61" spans="1:4" s="2" customFormat="1" x14ac:dyDescent="0.25">
      <c r="A61">
        <f t="shared" si="1"/>
        <v>0.8200000000000004</v>
      </c>
      <c r="B61" s="2">
        <f t="shared" si="0"/>
        <v>0.5</v>
      </c>
      <c r="C61" s="2">
        <f t="shared" si="2"/>
        <v>74.5</v>
      </c>
      <c r="D61" s="2">
        <f t="shared" si="3"/>
        <v>51.080000000000005</v>
      </c>
    </row>
    <row r="62" spans="1:4" s="2" customFormat="1" x14ac:dyDescent="0.25">
      <c r="A62">
        <f t="shared" si="1"/>
        <v>0.84000000000000041</v>
      </c>
      <c r="B62" s="2">
        <f t="shared" si="0"/>
        <v>0.5</v>
      </c>
      <c r="C62" s="2">
        <f t="shared" si="2"/>
        <v>74.5</v>
      </c>
      <c r="D62" s="2">
        <f t="shared" si="3"/>
        <v>52.570000000000007</v>
      </c>
    </row>
    <row r="63" spans="1:4" s="2" customFormat="1" x14ac:dyDescent="0.25">
      <c r="A63">
        <f t="shared" si="1"/>
        <v>0.86000000000000043</v>
      </c>
      <c r="B63" s="2">
        <f t="shared" si="0"/>
        <v>0.5</v>
      </c>
      <c r="C63" s="2">
        <f t="shared" si="2"/>
        <v>74.5</v>
      </c>
      <c r="D63" s="2">
        <f t="shared" si="3"/>
        <v>54.060000000000009</v>
      </c>
    </row>
    <row r="64" spans="1:4" s="2" customFormat="1" x14ac:dyDescent="0.25">
      <c r="A64">
        <f t="shared" si="1"/>
        <v>0.88000000000000045</v>
      </c>
      <c r="B64" s="2">
        <f t="shared" si="0"/>
        <v>0.5</v>
      </c>
      <c r="C64" s="2">
        <f t="shared" si="2"/>
        <v>74.5</v>
      </c>
      <c r="D64" s="2">
        <f t="shared" si="3"/>
        <v>55.550000000000011</v>
      </c>
    </row>
    <row r="65" spans="1:4" s="2" customFormat="1" x14ac:dyDescent="0.25">
      <c r="A65">
        <f t="shared" si="1"/>
        <v>0.90000000000000047</v>
      </c>
      <c r="B65" s="2">
        <f t="shared" si="0"/>
        <v>0.5</v>
      </c>
      <c r="C65" s="2">
        <f t="shared" si="2"/>
        <v>74.5</v>
      </c>
      <c r="D65" s="2">
        <f t="shared" si="3"/>
        <v>57.040000000000013</v>
      </c>
    </row>
    <row r="66" spans="1:4" s="2" customFormat="1" x14ac:dyDescent="0.25">
      <c r="A66">
        <f t="shared" si="1"/>
        <v>0.92000000000000048</v>
      </c>
      <c r="B66" s="2">
        <f t="shared" si="0"/>
        <v>0.45973154362416108</v>
      </c>
      <c r="C66" s="2">
        <f t="shared" si="2"/>
        <v>68.5</v>
      </c>
      <c r="D66" s="2">
        <f t="shared" si="3"/>
        <v>58.530000000000015</v>
      </c>
    </row>
    <row r="67" spans="1:4" s="2" customFormat="1" x14ac:dyDescent="0.25">
      <c r="A67">
        <f t="shared" si="1"/>
        <v>0.9400000000000005</v>
      </c>
      <c r="B67" s="2">
        <f t="shared" si="0"/>
        <v>0.41946308724832215</v>
      </c>
      <c r="C67" s="2">
        <f t="shared" si="2"/>
        <v>62.5</v>
      </c>
      <c r="D67" s="2">
        <f t="shared" si="3"/>
        <v>59.900000000000013</v>
      </c>
    </row>
    <row r="68" spans="1:4" s="2" customFormat="1" x14ac:dyDescent="0.25">
      <c r="A68">
        <f t="shared" si="1"/>
        <v>0.96000000000000052</v>
      </c>
      <c r="B68" s="2">
        <f t="shared" si="0"/>
        <v>0.37919463087248323</v>
      </c>
      <c r="C68" s="2">
        <f t="shared" si="2"/>
        <v>56.5</v>
      </c>
      <c r="D68" s="2">
        <f t="shared" si="3"/>
        <v>61.150000000000013</v>
      </c>
    </row>
    <row r="69" spans="1:4" s="2" customFormat="1" x14ac:dyDescent="0.25">
      <c r="A69">
        <f t="shared" si="1"/>
        <v>0.98000000000000054</v>
      </c>
      <c r="B69" s="2">
        <f t="shared" si="0"/>
        <v>0.33892617449664431</v>
      </c>
      <c r="C69" s="2">
        <f t="shared" si="2"/>
        <v>50.5</v>
      </c>
      <c r="D69" s="2">
        <f t="shared" si="3"/>
        <v>62.280000000000015</v>
      </c>
    </row>
    <row r="70" spans="1:4" s="2" customFormat="1" x14ac:dyDescent="0.25">
      <c r="A70">
        <f t="shared" si="1"/>
        <v>1.0000000000000004</v>
      </c>
      <c r="B70" s="2">
        <f t="shared" si="0"/>
        <v>0.29865771812080538</v>
      </c>
      <c r="C70" s="2">
        <f t="shared" si="2"/>
        <v>44.5</v>
      </c>
      <c r="D70" s="2">
        <f t="shared" si="3"/>
        <v>63.290000000000013</v>
      </c>
    </row>
    <row r="71" spans="1:4" s="2" customFormat="1" x14ac:dyDescent="0.25">
      <c r="A71">
        <f t="shared" si="1"/>
        <v>1.0200000000000005</v>
      </c>
      <c r="B71" s="2">
        <f t="shared" si="0"/>
        <v>0.25838926174496646</v>
      </c>
      <c r="C71" s="2">
        <f t="shared" si="2"/>
        <v>38.5</v>
      </c>
      <c r="D71" s="2">
        <f t="shared" si="3"/>
        <v>64.180000000000007</v>
      </c>
    </row>
    <row r="72" spans="1:4" s="2" customFormat="1" x14ac:dyDescent="0.25">
      <c r="A72">
        <f t="shared" si="1"/>
        <v>1.0400000000000005</v>
      </c>
      <c r="B72" s="2">
        <f t="shared" si="0"/>
        <v>0.21812080536912754</v>
      </c>
      <c r="C72" s="2">
        <f t="shared" si="2"/>
        <v>32.5</v>
      </c>
      <c r="D72" s="2">
        <f t="shared" si="3"/>
        <v>64.95</v>
      </c>
    </row>
    <row r="73" spans="1:4" s="2" customFormat="1" x14ac:dyDescent="0.25">
      <c r="A73">
        <f t="shared" si="1"/>
        <v>1.0600000000000005</v>
      </c>
      <c r="B73" s="2">
        <f t="shared" si="0"/>
        <v>0.17785234899328861</v>
      </c>
      <c r="C73" s="2">
        <f t="shared" si="2"/>
        <v>26.500000000000004</v>
      </c>
      <c r="D73" s="2">
        <f t="shared" si="3"/>
        <v>65.600000000000009</v>
      </c>
    </row>
    <row r="74" spans="1:4" s="2" customFormat="1" x14ac:dyDescent="0.25">
      <c r="A74">
        <f t="shared" si="1"/>
        <v>1.0800000000000005</v>
      </c>
      <c r="B74" s="2">
        <f t="shared" si="0"/>
        <v>0.13758389261744969</v>
      </c>
      <c r="C74" s="2">
        <f t="shared" si="2"/>
        <v>20.500000000000004</v>
      </c>
      <c r="D74" s="2">
        <f t="shared" si="3"/>
        <v>66.13000000000001</v>
      </c>
    </row>
    <row r="75" spans="1:4" s="2" customFormat="1" x14ac:dyDescent="0.25">
      <c r="A75">
        <f t="shared" si="1"/>
        <v>1.1000000000000005</v>
      </c>
      <c r="B75" s="2">
        <f t="shared" si="0"/>
        <v>9.7315436241610764E-2</v>
      </c>
      <c r="C75" s="2">
        <f t="shared" si="2"/>
        <v>14.500000000000004</v>
      </c>
      <c r="D75" s="2">
        <f t="shared" si="3"/>
        <v>66.540000000000006</v>
      </c>
    </row>
    <row r="76" spans="1:4" s="2" customFormat="1" x14ac:dyDescent="0.25">
      <c r="A76">
        <f t="shared" si="1"/>
        <v>1.1200000000000006</v>
      </c>
      <c r="B76" s="2">
        <f t="shared" si="0"/>
        <v>5.7046979865771841E-2</v>
      </c>
      <c r="C76" s="2">
        <f t="shared" si="2"/>
        <v>8.5000000000000036</v>
      </c>
      <c r="D76" s="2">
        <f t="shared" si="3"/>
        <v>66.830000000000013</v>
      </c>
    </row>
    <row r="77" spans="1:4" s="2" customFormat="1" x14ac:dyDescent="0.25">
      <c r="A77">
        <f t="shared" si="1"/>
        <v>1.1400000000000006</v>
      </c>
      <c r="B77" s="2">
        <f t="shared" si="0"/>
        <v>1.6778523489932917E-2</v>
      </c>
      <c r="C77" s="2">
        <f t="shared" si="2"/>
        <v>2.5000000000000044</v>
      </c>
      <c r="D77" s="2">
        <f t="shared" si="3"/>
        <v>67.000000000000014</v>
      </c>
    </row>
    <row r="78" spans="1:4" s="2" customFormat="1" x14ac:dyDescent="0.25">
      <c r="A78">
        <f t="shared" si="1"/>
        <v>1.1600000000000006</v>
      </c>
      <c r="B78" s="2">
        <f t="shared" si="0"/>
        <v>0</v>
      </c>
      <c r="C78" s="2">
        <f t="shared" si="2"/>
        <v>0</v>
      </c>
      <c r="D78" s="2">
        <f t="shared" si="3"/>
        <v>67.050000000000011</v>
      </c>
    </row>
    <row r="79" spans="1:4" s="2" customFormat="1" x14ac:dyDescent="0.25">
      <c r="A79">
        <f t="shared" si="1"/>
        <v>1.1800000000000006</v>
      </c>
      <c r="B79" s="2">
        <f t="shared" si="0"/>
        <v>0</v>
      </c>
      <c r="C79" s="2">
        <f t="shared" si="2"/>
        <v>0</v>
      </c>
      <c r="D79" s="2">
        <f t="shared" si="3"/>
        <v>67.050000000000011</v>
      </c>
    </row>
    <row r="80" spans="1:4" s="2" customFormat="1" x14ac:dyDescent="0.25">
      <c r="A80">
        <f t="shared" si="1"/>
        <v>1.2000000000000006</v>
      </c>
      <c r="B80" s="2">
        <f t="shared" si="0"/>
        <v>0</v>
      </c>
      <c r="C80" s="2">
        <f t="shared" si="2"/>
        <v>0</v>
      </c>
      <c r="D80" s="2">
        <f t="shared" si="3"/>
        <v>67.050000000000011</v>
      </c>
    </row>
    <row r="81" spans="1:4" s="2" customFormat="1" x14ac:dyDescent="0.25">
      <c r="A81">
        <f t="shared" si="1"/>
        <v>1.2200000000000006</v>
      </c>
      <c r="B81" s="2">
        <f t="shared" si="0"/>
        <v>0</v>
      </c>
      <c r="C81" s="2">
        <f t="shared" si="2"/>
        <v>0</v>
      </c>
      <c r="D81" s="2">
        <f t="shared" si="3"/>
        <v>67.050000000000011</v>
      </c>
    </row>
    <row r="82" spans="1:4" s="2" customFormat="1" x14ac:dyDescent="0.25">
      <c r="A82">
        <f t="shared" si="1"/>
        <v>1.2400000000000007</v>
      </c>
      <c r="B82" s="2">
        <f t="shared" si="0"/>
        <v>0</v>
      </c>
      <c r="C82" s="2">
        <f t="shared" si="2"/>
        <v>0</v>
      </c>
      <c r="D82" s="2">
        <f t="shared" si="3"/>
        <v>67.050000000000011</v>
      </c>
    </row>
    <row r="83" spans="1:4" s="2" customFormat="1" x14ac:dyDescent="0.25">
      <c r="A83">
        <f t="shared" si="1"/>
        <v>1.2600000000000007</v>
      </c>
      <c r="B83" s="2">
        <f t="shared" si="0"/>
        <v>0</v>
      </c>
      <c r="C83" s="2">
        <f t="shared" si="2"/>
        <v>0</v>
      </c>
      <c r="D83" s="2">
        <f t="shared" si="3"/>
        <v>67.050000000000011</v>
      </c>
    </row>
    <row r="84" spans="1:4" s="2" customFormat="1" x14ac:dyDescent="0.25">
      <c r="A84">
        <f t="shared" si="1"/>
        <v>1.2800000000000007</v>
      </c>
      <c r="B84" s="2">
        <f t="shared" si="0"/>
        <v>0</v>
      </c>
      <c r="C84" s="2">
        <f t="shared" si="2"/>
        <v>0</v>
      </c>
      <c r="D84" s="2">
        <f t="shared" si="3"/>
        <v>67.050000000000011</v>
      </c>
    </row>
    <row r="85" spans="1:4" s="2" customFormat="1" x14ac:dyDescent="0.25">
      <c r="A85">
        <f t="shared" si="1"/>
        <v>1.3000000000000007</v>
      </c>
      <c r="B85" s="2">
        <f t="shared" ref="B85:B148" si="4">MAX(0,IF(A85&lt;$B$14,B84+$B$8,IF(AND(A85&gt;=$B$14,A85&lt;=$B$15),$B$11/$B$2,B84-$B$8)))</f>
        <v>0</v>
      </c>
      <c r="C85" s="2">
        <f t="shared" si="2"/>
        <v>0</v>
      </c>
      <c r="D85" s="2">
        <f t="shared" si="3"/>
        <v>67.050000000000011</v>
      </c>
    </row>
    <row r="86" spans="1:4" s="2" customFormat="1" x14ac:dyDescent="0.25">
      <c r="A86">
        <f t="shared" ref="A86:A149" si="5">A85+$B$1</f>
        <v>1.3200000000000007</v>
      </c>
      <c r="B86" s="2">
        <f t="shared" si="4"/>
        <v>0</v>
      </c>
      <c r="C86" s="2">
        <f t="shared" ref="C86:C149" si="6">B86*$B$2</f>
        <v>0</v>
      </c>
      <c r="D86" s="2">
        <f t="shared" ref="D86:D149" si="7">D85+C85*$B$1</f>
        <v>67.050000000000011</v>
      </c>
    </row>
    <row r="87" spans="1:4" s="2" customFormat="1" x14ac:dyDescent="0.25">
      <c r="A87">
        <f t="shared" si="5"/>
        <v>1.3400000000000007</v>
      </c>
      <c r="B87" s="2">
        <f t="shared" si="4"/>
        <v>0</v>
      </c>
      <c r="C87" s="2">
        <f t="shared" si="6"/>
        <v>0</v>
      </c>
      <c r="D87" s="2">
        <f t="shared" si="7"/>
        <v>67.050000000000011</v>
      </c>
    </row>
    <row r="88" spans="1:4" s="2" customFormat="1" x14ac:dyDescent="0.25">
      <c r="A88">
        <f t="shared" si="5"/>
        <v>1.3600000000000008</v>
      </c>
      <c r="B88" s="2">
        <f t="shared" si="4"/>
        <v>0</v>
      </c>
      <c r="C88" s="2">
        <f t="shared" si="6"/>
        <v>0</v>
      </c>
      <c r="D88" s="2">
        <f t="shared" si="7"/>
        <v>67.050000000000011</v>
      </c>
    </row>
    <row r="89" spans="1:4" s="2" customFormat="1" x14ac:dyDescent="0.25">
      <c r="A89">
        <f t="shared" si="5"/>
        <v>1.3800000000000008</v>
      </c>
      <c r="B89" s="2">
        <f t="shared" si="4"/>
        <v>0</v>
      </c>
      <c r="C89" s="2">
        <f t="shared" si="6"/>
        <v>0</v>
      </c>
      <c r="D89" s="2">
        <f t="shared" si="7"/>
        <v>67.050000000000011</v>
      </c>
    </row>
    <row r="90" spans="1:4" s="2" customFormat="1" x14ac:dyDescent="0.25">
      <c r="A90">
        <f t="shared" si="5"/>
        <v>1.4000000000000008</v>
      </c>
      <c r="B90" s="2">
        <f t="shared" si="4"/>
        <v>0</v>
      </c>
      <c r="C90" s="2">
        <f t="shared" si="6"/>
        <v>0</v>
      </c>
      <c r="D90" s="2">
        <f t="shared" si="7"/>
        <v>67.050000000000011</v>
      </c>
    </row>
    <row r="91" spans="1:4" s="2" customFormat="1" x14ac:dyDescent="0.25">
      <c r="A91">
        <f t="shared" si="5"/>
        <v>1.4200000000000008</v>
      </c>
      <c r="B91" s="2">
        <f t="shared" si="4"/>
        <v>0</v>
      </c>
      <c r="C91" s="2">
        <f t="shared" si="6"/>
        <v>0</v>
      </c>
      <c r="D91" s="2">
        <f t="shared" si="7"/>
        <v>67.050000000000011</v>
      </c>
    </row>
    <row r="92" spans="1:4" s="2" customFormat="1" x14ac:dyDescent="0.25">
      <c r="A92">
        <f t="shared" si="5"/>
        <v>1.4400000000000008</v>
      </c>
      <c r="B92" s="2">
        <f t="shared" si="4"/>
        <v>0</v>
      </c>
      <c r="C92" s="2">
        <f t="shared" si="6"/>
        <v>0</v>
      </c>
      <c r="D92" s="2">
        <f t="shared" si="7"/>
        <v>67.050000000000011</v>
      </c>
    </row>
    <row r="93" spans="1:4" s="2" customFormat="1" x14ac:dyDescent="0.25">
      <c r="A93">
        <f t="shared" si="5"/>
        <v>1.4600000000000009</v>
      </c>
      <c r="B93" s="2">
        <f t="shared" si="4"/>
        <v>0</v>
      </c>
      <c r="C93" s="2">
        <f t="shared" si="6"/>
        <v>0</v>
      </c>
      <c r="D93" s="2">
        <f t="shared" si="7"/>
        <v>67.050000000000011</v>
      </c>
    </row>
    <row r="94" spans="1:4" s="2" customFormat="1" x14ac:dyDescent="0.25">
      <c r="A94">
        <f t="shared" si="5"/>
        <v>1.4800000000000009</v>
      </c>
      <c r="B94" s="2">
        <f t="shared" si="4"/>
        <v>0</v>
      </c>
      <c r="C94" s="2">
        <f t="shared" si="6"/>
        <v>0</v>
      </c>
      <c r="D94" s="2">
        <f t="shared" si="7"/>
        <v>67.050000000000011</v>
      </c>
    </row>
    <row r="95" spans="1:4" s="2" customFormat="1" x14ac:dyDescent="0.25">
      <c r="A95">
        <f t="shared" si="5"/>
        <v>1.5000000000000009</v>
      </c>
      <c r="B95" s="2">
        <f t="shared" si="4"/>
        <v>0</v>
      </c>
      <c r="C95" s="2">
        <f t="shared" si="6"/>
        <v>0</v>
      </c>
      <c r="D95" s="2">
        <f t="shared" si="7"/>
        <v>67.050000000000011</v>
      </c>
    </row>
    <row r="96" spans="1:4" s="2" customFormat="1" x14ac:dyDescent="0.25">
      <c r="A96">
        <f t="shared" si="5"/>
        <v>1.5200000000000009</v>
      </c>
      <c r="B96" s="2">
        <f t="shared" si="4"/>
        <v>0</v>
      </c>
      <c r="C96" s="2">
        <f t="shared" si="6"/>
        <v>0</v>
      </c>
      <c r="D96" s="2">
        <f t="shared" si="7"/>
        <v>67.050000000000011</v>
      </c>
    </row>
    <row r="97" spans="1:4" s="2" customFormat="1" x14ac:dyDescent="0.25">
      <c r="A97">
        <f t="shared" si="5"/>
        <v>1.5400000000000009</v>
      </c>
      <c r="B97" s="2">
        <f t="shared" si="4"/>
        <v>0</v>
      </c>
      <c r="C97" s="2">
        <f t="shared" si="6"/>
        <v>0</v>
      </c>
      <c r="D97" s="2">
        <f t="shared" si="7"/>
        <v>67.050000000000011</v>
      </c>
    </row>
    <row r="98" spans="1:4" s="2" customFormat="1" x14ac:dyDescent="0.25">
      <c r="A98">
        <f t="shared" si="5"/>
        <v>1.5600000000000009</v>
      </c>
      <c r="B98" s="2">
        <f t="shared" si="4"/>
        <v>0</v>
      </c>
      <c r="C98" s="2">
        <f t="shared" si="6"/>
        <v>0</v>
      </c>
      <c r="D98" s="2">
        <f t="shared" si="7"/>
        <v>67.050000000000011</v>
      </c>
    </row>
    <row r="99" spans="1:4" s="2" customFormat="1" x14ac:dyDescent="0.25">
      <c r="A99">
        <f t="shared" si="5"/>
        <v>1.580000000000001</v>
      </c>
      <c r="B99" s="2">
        <f t="shared" si="4"/>
        <v>0</v>
      </c>
      <c r="C99" s="2">
        <f t="shared" si="6"/>
        <v>0</v>
      </c>
      <c r="D99" s="2">
        <f t="shared" si="7"/>
        <v>67.050000000000011</v>
      </c>
    </row>
    <row r="100" spans="1:4" s="2" customFormat="1" x14ac:dyDescent="0.25">
      <c r="A100">
        <f t="shared" si="5"/>
        <v>1.600000000000001</v>
      </c>
      <c r="B100" s="2">
        <f t="shared" si="4"/>
        <v>0</v>
      </c>
      <c r="C100" s="2">
        <f t="shared" si="6"/>
        <v>0</v>
      </c>
      <c r="D100" s="2">
        <f t="shared" si="7"/>
        <v>67.050000000000011</v>
      </c>
    </row>
    <row r="101" spans="1:4" s="2" customFormat="1" x14ac:dyDescent="0.25">
      <c r="A101">
        <f t="shared" si="5"/>
        <v>1.620000000000001</v>
      </c>
      <c r="B101" s="2">
        <f t="shared" si="4"/>
        <v>0</v>
      </c>
      <c r="C101" s="2">
        <f t="shared" si="6"/>
        <v>0</v>
      </c>
      <c r="D101" s="2">
        <f t="shared" si="7"/>
        <v>67.050000000000011</v>
      </c>
    </row>
    <row r="102" spans="1:4" s="2" customFormat="1" x14ac:dyDescent="0.25">
      <c r="A102">
        <f t="shared" si="5"/>
        <v>1.640000000000001</v>
      </c>
      <c r="B102" s="2">
        <f t="shared" si="4"/>
        <v>0</v>
      </c>
      <c r="C102" s="2">
        <f t="shared" si="6"/>
        <v>0</v>
      </c>
      <c r="D102" s="2">
        <f t="shared" si="7"/>
        <v>67.050000000000011</v>
      </c>
    </row>
    <row r="103" spans="1:4" s="2" customFormat="1" x14ac:dyDescent="0.25">
      <c r="A103">
        <f t="shared" si="5"/>
        <v>1.660000000000001</v>
      </c>
      <c r="B103" s="2">
        <f t="shared" si="4"/>
        <v>0</v>
      </c>
      <c r="C103" s="2">
        <f t="shared" si="6"/>
        <v>0</v>
      </c>
      <c r="D103" s="2">
        <f t="shared" si="7"/>
        <v>67.050000000000011</v>
      </c>
    </row>
    <row r="104" spans="1:4" s="2" customFormat="1" x14ac:dyDescent="0.25">
      <c r="A104">
        <f t="shared" si="5"/>
        <v>1.680000000000001</v>
      </c>
      <c r="B104" s="2">
        <f t="shared" si="4"/>
        <v>0</v>
      </c>
      <c r="C104" s="2">
        <f t="shared" si="6"/>
        <v>0</v>
      </c>
      <c r="D104" s="2">
        <f t="shared" si="7"/>
        <v>67.050000000000011</v>
      </c>
    </row>
    <row r="105" spans="1:4" s="2" customFormat="1" x14ac:dyDescent="0.25">
      <c r="A105">
        <f t="shared" si="5"/>
        <v>1.7000000000000011</v>
      </c>
      <c r="B105" s="2">
        <f t="shared" si="4"/>
        <v>0</v>
      </c>
      <c r="C105" s="2">
        <f t="shared" si="6"/>
        <v>0</v>
      </c>
      <c r="D105" s="2">
        <f t="shared" si="7"/>
        <v>67.050000000000011</v>
      </c>
    </row>
    <row r="106" spans="1:4" s="2" customFormat="1" x14ac:dyDescent="0.25">
      <c r="A106">
        <f t="shared" si="5"/>
        <v>1.7200000000000011</v>
      </c>
      <c r="B106" s="2">
        <f t="shared" si="4"/>
        <v>0</v>
      </c>
      <c r="C106" s="2">
        <f t="shared" si="6"/>
        <v>0</v>
      </c>
      <c r="D106" s="2">
        <f t="shared" si="7"/>
        <v>67.050000000000011</v>
      </c>
    </row>
    <row r="107" spans="1:4" s="2" customFormat="1" x14ac:dyDescent="0.25">
      <c r="A107">
        <f t="shared" si="5"/>
        <v>1.7400000000000011</v>
      </c>
      <c r="B107" s="2">
        <f t="shared" si="4"/>
        <v>0</v>
      </c>
      <c r="C107" s="2">
        <f t="shared" si="6"/>
        <v>0</v>
      </c>
      <c r="D107" s="2">
        <f t="shared" si="7"/>
        <v>67.050000000000011</v>
      </c>
    </row>
    <row r="108" spans="1:4" s="2" customFormat="1" x14ac:dyDescent="0.25">
      <c r="A108">
        <f t="shared" si="5"/>
        <v>1.7600000000000011</v>
      </c>
      <c r="B108" s="2">
        <f t="shared" si="4"/>
        <v>0</v>
      </c>
      <c r="C108" s="2">
        <f t="shared" si="6"/>
        <v>0</v>
      </c>
      <c r="D108" s="2">
        <f t="shared" si="7"/>
        <v>67.050000000000011</v>
      </c>
    </row>
    <row r="109" spans="1:4" s="2" customFormat="1" x14ac:dyDescent="0.25">
      <c r="A109">
        <f t="shared" si="5"/>
        <v>1.7800000000000011</v>
      </c>
      <c r="B109" s="2">
        <f t="shared" si="4"/>
        <v>0</v>
      </c>
      <c r="C109" s="2">
        <f t="shared" si="6"/>
        <v>0</v>
      </c>
      <c r="D109" s="2">
        <f t="shared" si="7"/>
        <v>67.050000000000011</v>
      </c>
    </row>
    <row r="110" spans="1:4" s="2" customFormat="1" x14ac:dyDescent="0.25">
      <c r="A110">
        <f t="shared" si="5"/>
        <v>1.8000000000000012</v>
      </c>
      <c r="B110" s="2">
        <f t="shared" si="4"/>
        <v>0</v>
      </c>
      <c r="C110" s="2">
        <f t="shared" si="6"/>
        <v>0</v>
      </c>
      <c r="D110" s="2">
        <f t="shared" si="7"/>
        <v>67.050000000000011</v>
      </c>
    </row>
    <row r="111" spans="1:4" s="2" customFormat="1" x14ac:dyDescent="0.25">
      <c r="A111">
        <f t="shared" si="5"/>
        <v>1.8200000000000012</v>
      </c>
      <c r="B111" s="2">
        <f t="shared" si="4"/>
        <v>0</v>
      </c>
      <c r="C111" s="2">
        <f t="shared" si="6"/>
        <v>0</v>
      </c>
      <c r="D111" s="2">
        <f t="shared" si="7"/>
        <v>67.050000000000011</v>
      </c>
    </row>
    <row r="112" spans="1:4" s="2" customFormat="1" x14ac:dyDescent="0.25">
      <c r="A112">
        <f t="shared" si="5"/>
        <v>1.8400000000000012</v>
      </c>
      <c r="B112" s="2">
        <f t="shared" si="4"/>
        <v>0</v>
      </c>
      <c r="C112" s="2">
        <f t="shared" si="6"/>
        <v>0</v>
      </c>
      <c r="D112" s="2">
        <f t="shared" si="7"/>
        <v>67.050000000000011</v>
      </c>
    </row>
    <row r="113" spans="1:4" s="2" customFormat="1" x14ac:dyDescent="0.25">
      <c r="A113">
        <f t="shared" si="5"/>
        <v>1.8600000000000012</v>
      </c>
      <c r="B113" s="2">
        <f t="shared" si="4"/>
        <v>0</v>
      </c>
      <c r="C113" s="2">
        <f t="shared" si="6"/>
        <v>0</v>
      </c>
      <c r="D113" s="2">
        <f t="shared" si="7"/>
        <v>67.050000000000011</v>
      </c>
    </row>
    <row r="114" spans="1:4" s="2" customFormat="1" x14ac:dyDescent="0.25">
      <c r="A114">
        <f t="shared" si="5"/>
        <v>1.8800000000000012</v>
      </c>
      <c r="B114" s="2">
        <f t="shared" si="4"/>
        <v>0</v>
      </c>
      <c r="C114" s="2">
        <f t="shared" si="6"/>
        <v>0</v>
      </c>
      <c r="D114" s="2">
        <f t="shared" si="7"/>
        <v>67.050000000000011</v>
      </c>
    </row>
    <row r="115" spans="1:4" s="2" customFormat="1" x14ac:dyDescent="0.25">
      <c r="A115">
        <f t="shared" si="5"/>
        <v>1.9000000000000012</v>
      </c>
      <c r="B115" s="2">
        <f t="shared" si="4"/>
        <v>0</v>
      </c>
      <c r="C115" s="2">
        <f t="shared" si="6"/>
        <v>0</v>
      </c>
      <c r="D115" s="2">
        <f t="shared" si="7"/>
        <v>67.050000000000011</v>
      </c>
    </row>
    <row r="116" spans="1:4" s="2" customFormat="1" x14ac:dyDescent="0.25">
      <c r="A116">
        <f t="shared" si="5"/>
        <v>1.9200000000000013</v>
      </c>
      <c r="B116" s="2">
        <f t="shared" si="4"/>
        <v>0</v>
      </c>
      <c r="C116" s="2">
        <f t="shared" si="6"/>
        <v>0</v>
      </c>
      <c r="D116" s="2">
        <f t="shared" si="7"/>
        <v>67.050000000000011</v>
      </c>
    </row>
    <row r="117" spans="1:4" s="2" customFormat="1" x14ac:dyDescent="0.25">
      <c r="A117">
        <f t="shared" si="5"/>
        <v>1.9400000000000013</v>
      </c>
      <c r="B117" s="2">
        <f t="shared" si="4"/>
        <v>0</v>
      </c>
      <c r="C117" s="2">
        <f t="shared" si="6"/>
        <v>0</v>
      </c>
      <c r="D117" s="2">
        <f t="shared" si="7"/>
        <v>67.050000000000011</v>
      </c>
    </row>
    <row r="118" spans="1:4" s="2" customFormat="1" x14ac:dyDescent="0.25">
      <c r="A118">
        <f t="shared" si="5"/>
        <v>1.9600000000000013</v>
      </c>
      <c r="B118" s="2">
        <f t="shared" si="4"/>
        <v>0</v>
      </c>
      <c r="C118" s="2">
        <f t="shared" si="6"/>
        <v>0</v>
      </c>
      <c r="D118" s="2">
        <f t="shared" si="7"/>
        <v>67.050000000000011</v>
      </c>
    </row>
    <row r="119" spans="1:4" s="2" customFormat="1" x14ac:dyDescent="0.25">
      <c r="A119">
        <f t="shared" si="5"/>
        <v>1.9800000000000013</v>
      </c>
      <c r="B119" s="2">
        <f t="shared" si="4"/>
        <v>0</v>
      </c>
      <c r="C119" s="2">
        <f t="shared" si="6"/>
        <v>0</v>
      </c>
      <c r="D119" s="2">
        <f t="shared" si="7"/>
        <v>67.050000000000011</v>
      </c>
    </row>
    <row r="120" spans="1:4" s="2" customFormat="1" x14ac:dyDescent="0.25">
      <c r="A120">
        <f t="shared" si="5"/>
        <v>2.0000000000000013</v>
      </c>
      <c r="B120" s="2">
        <f t="shared" si="4"/>
        <v>0</v>
      </c>
      <c r="C120" s="2">
        <f t="shared" si="6"/>
        <v>0</v>
      </c>
      <c r="D120" s="2">
        <f t="shared" si="7"/>
        <v>67.050000000000011</v>
      </c>
    </row>
    <row r="121" spans="1:4" s="2" customFormat="1" x14ac:dyDescent="0.25">
      <c r="A121">
        <f t="shared" si="5"/>
        <v>2.0200000000000014</v>
      </c>
      <c r="B121" s="2">
        <f t="shared" si="4"/>
        <v>0</v>
      </c>
      <c r="C121" s="2">
        <f t="shared" si="6"/>
        <v>0</v>
      </c>
      <c r="D121" s="2">
        <f t="shared" si="7"/>
        <v>67.050000000000011</v>
      </c>
    </row>
    <row r="122" spans="1:4" s="2" customFormat="1" x14ac:dyDescent="0.25">
      <c r="A122">
        <f t="shared" si="5"/>
        <v>2.0400000000000014</v>
      </c>
      <c r="B122" s="2">
        <f t="shared" si="4"/>
        <v>0</v>
      </c>
      <c r="C122" s="2">
        <f t="shared" si="6"/>
        <v>0</v>
      </c>
      <c r="D122" s="2">
        <f t="shared" si="7"/>
        <v>67.050000000000011</v>
      </c>
    </row>
    <row r="123" spans="1:4" s="2" customFormat="1" x14ac:dyDescent="0.25">
      <c r="A123">
        <f t="shared" si="5"/>
        <v>2.0600000000000014</v>
      </c>
      <c r="B123" s="2">
        <f t="shared" si="4"/>
        <v>0</v>
      </c>
      <c r="C123" s="2">
        <f t="shared" si="6"/>
        <v>0</v>
      </c>
      <c r="D123" s="2">
        <f t="shared" si="7"/>
        <v>67.050000000000011</v>
      </c>
    </row>
    <row r="124" spans="1:4" s="2" customFormat="1" x14ac:dyDescent="0.25">
      <c r="A124">
        <f t="shared" si="5"/>
        <v>2.0800000000000014</v>
      </c>
      <c r="B124" s="2">
        <f t="shared" si="4"/>
        <v>0</v>
      </c>
      <c r="C124" s="2">
        <f t="shared" si="6"/>
        <v>0</v>
      </c>
      <c r="D124" s="2">
        <f t="shared" si="7"/>
        <v>67.050000000000011</v>
      </c>
    </row>
    <row r="125" spans="1:4" s="2" customFormat="1" x14ac:dyDescent="0.25">
      <c r="A125">
        <f t="shared" si="5"/>
        <v>2.1000000000000014</v>
      </c>
      <c r="B125" s="2">
        <f t="shared" si="4"/>
        <v>0</v>
      </c>
      <c r="C125" s="2">
        <f t="shared" si="6"/>
        <v>0</v>
      </c>
      <c r="D125" s="2">
        <f t="shared" si="7"/>
        <v>67.050000000000011</v>
      </c>
    </row>
    <row r="126" spans="1:4" s="2" customFormat="1" x14ac:dyDescent="0.25">
      <c r="A126">
        <f t="shared" si="5"/>
        <v>2.1200000000000014</v>
      </c>
      <c r="B126" s="2">
        <f t="shared" si="4"/>
        <v>0</v>
      </c>
      <c r="C126" s="2">
        <f t="shared" si="6"/>
        <v>0</v>
      </c>
      <c r="D126" s="2">
        <f t="shared" si="7"/>
        <v>67.050000000000011</v>
      </c>
    </row>
    <row r="127" spans="1:4" s="2" customFormat="1" x14ac:dyDescent="0.25">
      <c r="A127">
        <f t="shared" si="5"/>
        <v>2.1400000000000015</v>
      </c>
      <c r="B127" s="2">
        <f t="shared" si="4"/>
        <v>0</v>
      </c>
      <c r="C127" s="2">
        <f t="shared" si="6"/>
        <v>0</v>
      </c>
      <c r="D127" s="2">
        <f t="shared" si="7"/>
        <v>67.050000000000011</v>
      </c>
    </row>
    <row r="128" spans="1:4" s="2" customFormat="1" x14ac:dyDescent="0.25">
      <c r="A128">
        <f t="shared" si="5"/>
        <v>2.1600000000000015</v>
      </c>
      <c r="B128" s="2">
        <f t="shared" si="4"/>
        <v>0</v>
      </c>
      <c r="C128" s="2">
        <f t="shared" si="6"/>
        <v>0</v>
      </c>
      <c r="D128" s="2">
        <f t="shared" si="7"/>
        <v>67.050000000000011</v>
      </c>
    </row>
    <row r="129" spans="1:4" s="2" customFormat="1" x14ac:dyDescent="0.25">
      <c r="A129">
        <f t="shared" si="5"/>
        <v>2.1800000000000015</v>
      </c>
      <c r="B129" s="2">
        <f t="shared" si="4"/>
        <v>0</v>
      </c>
      <c r="C129" s="2">
        <f t="shared" si="6"/>
        <v>0</v>
      </c>
      <c r="D129" s="2">
        <f t="shared" si="7"/>
        <v>67.050000000000011</v>
      </c>
    </row>
    <row r="130" spans="1:4" s="2" customFormat="1" x14ac:dyDescent="0.25">
      <c r="A130">
        <f t="shared" si="5"/>
        <v>2.2000000000000015</v>
      </c>
      <c r="B130" s="2">
        <f t="shared" si="4"/>
        <v>0</v>
      </c>
      <c r="C130" s="2">
        <f t="shared" si="6"/>
        <v>0</v>
      </c>
      <c r="D130" s="2">
        <f t="shared" si="7"/>
        <v>67.050000000000011</v>
      </c>
    </row>
    <row r="131" spans="1:4" s="2" customFormat="1" x14ac:dyDescent="0.25">
      <c r="A131">
        <f t="shared" si="5"/>
        <v>2.2200000000000015</v>
      </c>
      <c r="B131" s="2">
        <f t="shared" si="4"/>
        <v>0</v>
      </c>
      <c r="C131" s="2">
        <f t="shared" si="6"/>
        <v>0</v>
      </c>
      <c r="D131" s="2">
        <f t="shared" si="7"/>
        <v>67.050000000000011</v>
      </c>
    </row>
    <row r="132" spans="1:4" s="2" customFormat="1" x14ac:dyDescent="0.25">
      <c r="A132">
        <f t="shared" si="5"/>
        <v>2.2400000000000015</v>
      </c>
      <c r="B132" s="2">
        <f t="shared" si="4"/>
        <v>0</v>
      </c>
      <c r="C132" s="2">
        <f t="shared" si="6"/>
        <v>0</v>
      </c>
      <c r="D132" s="2">
        <f t="shared" si="7"/>
        <v>67.050000000000011</v>
      </c>
    </row>
    <row r="133" spans="1:4" s="2" customFormat="1" x14ac:dyDescent="0.25">
      <c r="A133">
        <f t="shared" si="5"/>
        <v>2.2600000000000016</v>
      </c>
      <c r="B133" s="2">
        <f t="shared" si="4"/>
        <v>0</v>
      </c>
      <c r="C133" s="2">
        <f t="shared" si="6"/>
        <v>0</v>
      </c>
      <c r="D133" s="2">
        <f t="shared" si="7"/>
        <v>67.050000000000011</v>
      </c>
    </row>
    <row r="134" spans="1:4" s="2" customFormat="1" x14ac:dyDescent="0.25">
      <c r="A134">
        <f t="shared" si="5"/>
        <v>2.2800000000000016</v>
      </c>
      <c r="B134" s="2">
        <f t="shared" si="4"/>
        <v>0</v>
      </c>
      <c r="C134" s="2">
        <f t="shared" si="6"/>
        <v>0</v>
      </c>
      <c r="D134" s="2">
        <f t="shared" si="7"/>
        <v>67.050000000000011</v>
      </c>
    </row>
    <row r="135" spans="1:4" s="2" customFormat="1" x14ac:dyDescent="0.25">
      <c r="A135">
        <f t="shared" si="5"/>
        <v>2.3000000000000016</v>
      </c>
      <c r="B135" s="2">
        <f t="shared" si="4"/>
        <v>0</v>
      </c>
      <c r="C135" s="2">
        <f t="shared" si="6"/>
        <v>0</v>
      </c>
      <c r="D135" s="2">
        <f t="shared" si="7"/>
        <v>67.050000000000011</v>
      </c>
    </row>
    <row r="136" spans="1:4" s="2" customFormat="1" x14ac:dyDescent="0.25">
      <c r="A136">
        <f t="shared" si="5"/>
        <v>2.3200000000000016</v>
      </c>
      <c r="B136" s="2">
        <f t="shared" si="4"/>
        <v>0</v>
      </c>
      <c r="C136" s="2">
        <f t="shared" si="6"/>
        <v>0</v>
      </c>
      <c r="D136" s="2">
        <f t="shared" si="7"/>
        <v>67.050000000000011</v>
      </c>
    </row>
    <row r="137" spans="1:4" s="2" customFormat="1" x14ac:dyDescent="0.25">
      <c r="A137">
        <f t="shared" si="5"/>
        <v>2.3400000000000016</v>
      </c>
      <c r="B137" s="2">
        <f t="shared" si="4"/>
        <v>0</v>
      </c>
      <c r="C137" s="2">
        <f t="shared" si="6"/>
        <v>0</v>
      </c>
      <c r="D137" s="2">
        <f t="shared" si="7"/>
        <v>67.050000000000011</v>
      </c>
    </row>
    <row r="138" spans="1:4" s="2" customFormat="1" x14ac:dyDescent="0.25">
      <c r="A138">
        <f t="shared" si="5"/>
        <v>2.3600000000000017</v>
      </c>
      <c r="B138" s="2">
        <f t="shared" si="4"/>
        <v>0</v>
      </c>
      <c r="C138" s="2">
        <f t="shared" si="6"/>
        <v>0</v>
      </c>
      <c r="D138" s="2">
        <f t="shared" si="7"/>
        <v>67.050000000000011</v>
      </c>
    </row>
    <row r="139" spans="1:4" s="2" customFormat="1" x14ac:dyDescent="0.25">
      <c r="A139">
        <f t="shared" si="5"/>
        <v>2.3800000000000017</v>
      </c>
      <c r="B139" s="2">
        <f t="shared" si="4"/>
        <v>0</v>
      </c>
      <c r="C139" s="2">
        <f t="shared" si="6"/>
        <v>0</v>
      </c>
      <c r="D139" s="2">
        <f t="shared" si="7"/>
        <v>67.050000000000011</v>
      </c>
    </row>
    <row r="140" spans="1:4" s="2" customFormat="1" x14ac:dyDescent="0.25">
      <c r="A140">
        <f t="shared" si="5"/>
        <v>2.4000000000000017</v>
      </c>
      <c r="B140" s="2">
        <f t="shared" si="4"/>
        <v>0</v>
      </c>
      <c r="C140" s="2">
        <f t="shared" si="6"/>
        <v>0</v>
      </c>
      <c r="D140" s="2">
        <f t="shared" si="7"/>
        <v>67.050000000000011</v>
      </c>
    </row>
    <row r="141" spans="1:4" s="2" customFormat="1" x14ac:dyDescent="0.25">
      <c r="A141">
        <f t="shared" si="5"/>
        <v>2.4200000000000017</v>
      </c>
      <c r="B141" s="2">
        <f t="shared" si="4"/>
        <v>0</v>
      </c>
      <c r="C141" s="2">
        <f t="shared" si="6"/>
        <v>0</v>
      </c>
      <c r="D141" s="2">
        <f t="shared" si="7"/>
        <v>67.050000000000011</v>
      </c>
    </row>
    <row r="142" spans="1:4" s="2" customFormat="1" x14ac:dyDescent="0.25">
      <c r="A142">
        <f t="shared" si="5"/>
        <v>2.4400000000000017</v>
      </c>
      <c r="B142" s="2">
        <f t="shared" si="4"/>
        <v>0</v>
      </c>
      <c r="C142" s="2">
        <f t="shared" si="6"/>
        <v>0</v>
      </c>
      <c r="D142" s="2">
        <f t="shared" si="7"/>
        <v>67.050000000000011</v>
      </c>
    </row>
    <row r="143" spans="1:4" s="2" customFormat="1" x14ac:dyDescent="0.25">
      <c r="A143">
        <f t="shared" si="5"/>
        <v>2.4600000000000017</v>
      </c>
      <c r="B143" s="2">
        <f t="shared" si="4"/>
        <v>0</v>
      </c>
      <c r="C143" s="2">
        <f t="shared" si="6"/>
        <v>0</v>
      </c>
      <c r="D143" s="2">
        <f t="shared" si="7"/>
        <v>67.050000000000011</v>
      </c>
    </row>
    <row r="144" spans="1:4" s="2" customFormat="1" x14ac:dyDescent="0.25">
      <c r="A144">
        <f t="shared" si="5"/>
        <v>2.4800000000000018</v>
      </c>
      <c r="B144" s="2">
        <f t="shared" si="4"/>
        <v>0</v>
      </c>
      <c r="C144" s="2">
        <f t="shared" si="6"/>
        <v>0</v>
      </c>
      <c r="D144" s="2">
        <f t="shared" si="7"/>
        <v>67.050000000000011</v>
      </c>
    </row>
    <row r="145" spans="1:4" s="2" customFormat="1" x14ac:dyDescent="0.25">
      <c r="A145">
        <f t="shared" si="5"/>
        <v>2.5000000000000018</v>
      </c>
      <c r="B145" s="2">
        <f t="shared" si="4"/>
        <v>0</v>
      </c>
      <c r="C145" s="2">
        <f t="shared" si="6"/>
        <v>0</v>
      </c>
      <c r="D145" s="2">
        <f t="shared" si="7"/>
        <v>67.050000000000011</v>
      </c>
    </row>
    <row r="146" spans="1:4" s="2" customFormat="1" x14ac:dyDescent="0.25">
      <c r="A146">
        <f t="shared" si="5"/>
        <v>2.5200000000000018</v>
      </c>
      <c r="B146" s="2">
        <f t="shared" si="4"/>
        <v>0</v>
      </c>
      <c r="C146" s="2">
        <f t="shared" si="6"/>
        <v>0</v>
      </c>
      <c r="D146" s="2">
        <f t="shared" si="7"/>
        <v>67.050000000000011</v>
      </c>
    </row>
    <row r="147" spans="1:4" s="2" customFormat="1" x14ac:dyDescent="0.25">
      <c r="A147">
        <f t="shared" si="5"/>
        <v>2.5400000000000018</v>
      </c>
      <c r="B147" s="2">
        <f t="shared" si="4"/>
        <v>0</v>
      </c>
      <c r="C147" s="2">
        <f t="shared" si="6"/>
        <v>0</v>
      </c>
      <c r="D147" s="2">
        <f t="shared" si="7"/>
        <v>67.050000000000011</v>
      </c>
    </row>
    <row r="148" spans="1:4" s="2" customFormat="1" x14ac:dyDescent="0.25">
      <c r="A148">
        <f t="shared" si="5"/>
        <v>2.5600000000000018</v>
      </c>
      <c r="B148" s="2">
        <f t="shared" si="4"/>
        <v>0</v>
      </c>
      <c r="C148" s="2">
        <f t="shared" si="6"/>
        <v>0</v>
      </c>
      <c r="D148" s="2">
        <f t="shared" si="7"/>
        <v>67.050000000000011</v>
      </c>
    </row>
    <row r="149" spans="1:4" s="2" customFormat="1" x14ac:dyDescent="0.25">
      <c r="A149">
        <f t="shared" si="5"/>
        <v>2.5800000000000018</v>
      </c>
      <c r="B149" s="2">
        <f t="shared" ref="B149:B212" si="8">MAX(0,IF(A149&lt;$B$14,B148+$B$8,IF(AND(A149&gt;=$B$14,A149&lt;=$B$15),$B$11/$B$2,B148-$B$8)))</f>
        <v>0</v>
      </c>
      <c r="C149" s="2">
        <f t="shared" si="6"/>
        <v>0</v>
      </c>
      <c r="D149" s="2">
        <f t="shared" si="7"/>
        <v>67.050000000000011</v>
      </c>
    </row>
    <row r="150" spans="1:4" s="2" customFormat="1" x14ac:dyDescent="0.25">
      <c r="A150">
        <f t="shared" ref="A150:A213" si="9">A149+$B$1</f>
        <v>2.6000000000000019</v>
      </c>
      <c r="B150" s="2">
        <f t="shared" si="8"/>
        <v>0</v>
      </c>
      <c r="C150" s="2">
        <f t="shared" ref="C150:C213" si="10">B150*$B$2</f>
        <v>0</v>
      </c>
      <c r="D150" s="2">
        <f t="shared" ref="D150:D213" si="11">D149+C149*$B$1</f>
        <v>67.050000000000011</v>
      </c>
    </row>
    <row r="151" spans="1:4" s="2" customFormat="1" x14ac:dyDescent="0.25">
      <c r="A151">
        <f t="shared" si="9"/>
        <v>2.6200000000000019</v>
      </c>
      <c r="B151" s="2">
        <f t="shared" si="8"/>
        <v>0</v>
      </c>
      <c r="C151" s="2">
        <f t="shared" si="10"/>
        <v>0</v>
      </c>
      <c r="D151" s="2">
        <f t="shared" si="11"/>
        <v>67.050000000000011</v>
      </c>
    </row>
    <row r="152" spans="1:4" s="2" customFormat="1" x14ac:dyDescent="0.25">
      <c r="A152">
        <f t="shared" si="9"/>
        <v>2.6400000000000019</v>
      </c>
      <c r="B152" s="2">
        <f t="shared" si="8"/>
        <v>0</v>
      </c>
      <c r="C152" s="2">
        <f t="shared" si="10"/>
        <v>0</v>
      </c>
      <c r="D152" s="2">
        <f t="shared" si="11"/>
        <v>67.050000000000011</v>
      </c>
    </row>
    <row r="153" spans="1:4" s="2" customFormat="1" x14ac:dyDescent="0.25">
      <c r="A153">
        <f t="shared" si="9"/>
        <v>2.6600000000000019</v>
      </c>
      <c r="B153" s="2">
        <f t="shared" si="8"/>
        <v>0</v>
      </c>
      <c r="C153" s="2">
        <f t="shared" si="10"/>
        <v>0</v>
      </c>
      <c r="D153" s="2">
        <f t="shared" si="11"/>
        <v>67.050000000000011</v>
      </c>
    </row>
    <row r="154" spans="1:4" s="2" customFormat="1" x14ac:dyDescent="0.25">
      <c r="A154">
        <f t="shared" si="9"/>
        <v>2.6800000000000019</v>
      </c>
      <c r="B154" s="2">
        <f t="shared" si="8"/>
        <v>0</v>
      </c>
      <c r="C154" s="2">
        <f t="shared" si="10"/>
        <v>0</v>
      </c>
      <c r="D154" s="2">
        <f t="shared" si="11"/>
        <v>67.050000000000011</v>
      </c>
    </row>
    <row r="155" spans="1:4" s="2" customFormat="1" x14ac:dyDescent="0.25">
      <c r="A155">
        <f t="shared" si="9"/>
        <v>2.700000000000002</v>
      </c>
      <c r="B155" s="2">
        <f t="shared" si="8"/>
        <v>0</v>
      </c>
      <c r="C155" s="2">
        <f t="shared" si="10"/>
        <v>0</v>
      </c>
      <c r="D155" s="2">
        <f t="shared" si="11"/>
        <v>67.050000000000011</v>
      </c>
    </row>
    <row r="156" spans="1:4" s="2" customFormat="1" x14ac:dyDescent="0.25">
      <c r="A156">
        <f t="shared" si="9"/>
        <v>2.720000000000002</v>
      </c>
      <c r="B156" s="2">
        <f t="shared" si="8"/>
        <v>0</v>
      </c>
      <c r="C156" s="2">
        <f t="shared" si="10"/>
        <v>0</v>
      </c>
      <c r="D156" s="2">
        <f t="shared" si="11"/>
        <v>67.050000000000011</v>
      </c>
    </row>
    <row r="157" spans="1:4" s="2" customFormat="1" x14ac:dyDescent="0.25">
      <c r="A157">
        <f t="shared" si="9"/>
        <v>2.740000000000002</v>
      </c>
      <c r="B157" s="2">
        <f t="shared" si="8"/>
        <v>0</v>
      </c>
      <c r="C157" s="2">
        <f t="shared" si="10"/>
        <v>0</v>
      </c>
      <c r="D157" s="2">
        <f t="shared" si="11"/>
        <v>67.050000000000011</v>
      </c>
    </row>
    <row r="158" spans="1:4" s="2" customFormat="1" x14ac:dyDescent="0.25">
      <c r="A158">
        <f t="shared" si="9"/>
        <v>2.760000000000002</v>
      </c>
      <c r="B158" s="2">
        <f t="shared" si="8"/>
        <v>0</v>
      </c>
      <c r="C158" s="2">
        <f t="shared" si="10"/>
        <v>0</v>
      </c>
      <c r="D158" s="2">
        <f t="shared" si="11"/>
        <v>67.050000000000011</v>
      </c>
    </row>
    <row r="159" spans="1:4" s="2" customFormat="1" x14ac:dyDescent="0.25">
      <c r="A159">
        <f t="shared" si="9"/>
        <v>2.780000000000002</v>
      </c>
      <c r="B159" s="2">
        <f t="shared" si="8"/>
        <v>0</v>
      </c>
      <c r="C159" s="2">
        <f t="shared" si="10"/>
        <v>0</v>
      </c>
      <c r="D159" s="2">
        <f t="shared" si="11"/>
        <v>67.050000000000011</v>
      </c>
    </row>
    <row r="160" spans="1:4" s="2" customFormat="1" x14ac:dyDescent="0.25">
      <c r="A160">
        <f t="shared" si="9"/>
        <v>2.800000000000002</v>
      </c>
      <c r="B160" s="2">
        <f t="shared" si="8"/>
        <v>0</v>
      </c>
      <c r="C160" s="2">
        <f t="shared" si="10"/>
        <v>0</v>
      </c>
      <c r="D160" s="2">
        <f t="shared" si="11"/>
        <v>67.050000000000011</v>
      </c>
    </row>
    <row r="161" spans="1:4" s="2" customFormat="1" x14ac:dyDescent="0.25">
      <c r="A161">
        <f t="shared" si="9"/>
        <v>2.8200000000000021</v>
      </c>
      <c r="B161" s="2">
        <f t="shared" si="8"/>
        <v>0</v>
      </c>
      <c r="C161" s="2">
        <f t="shared" si="10"/>
        <v>0</v>
      </c>
      <c r="D161" s="2">
        <f t="shared" si="11"/>
        <v>67.050000000000011</v>
      </c>
    </row>
    <row r="162" spans="1:4" s="2" customFormat="1" x14ac:dyDescent="0.25">
      <c r="A162">
        <f t="shared" si="9"/>
        <v>2.8400000000000021</v>
      </c>
      <c r="B162" s="2">
        <f t="shared" si="8"/>
        <v>0</v>
      </c>
      <c r="C162" s="2">
        <f t="shared" si="10"/>
        <v>0</v>
      </c>
      <c r="D162" s="2">
        <f t="shared" si="11"/>
        <v>67.050000000000011</v>
      </c>
    </row>
    <row r="163" spans="1:4" s="2" customFormat="1" x14ac:dyDescent="0.25">
      <c r="A163">
        <f t="shared" si="9"/>
        <v>2.8600000000000021</v>
      </c>
      <c r="B163" s="2">
        <f t="shared" si="8"/>
        <v>0</v>
      </c>
      <c r="C163" s="2">
        <f t="shared" si="10"/>
        <v>0</v>
      </c>
      <c r="D163" s="2">
        <f t="shared" si="11"/>
        <v>67.050000000000011</v>
      </c>
    </row>
    <row r="164" spans="1:4" s="2" customFormat="1" x14ac:dyDescent="0.25">
      <c r="A164">
        <f t="shared" si="9"/>
        <v>2.8800000000000021</v>
      </c>
      <c r="B164" s="2">
        <f t="shared" si="8"/>
        <v>0</v>
      </c>
      <c r="C164" s="2">
        <f t="shared" si="10"/>
        <v>0</v>
      </c>
      <c r="D164" s="2">
        <f t="shared" si="11"/>
        <v>67.050000000000011</v>
      </c>
    </row>
    <row r="165" spans="1:4" s="2" customFormat="1" x14ac:dyDescent="0.25">
      <c r="A165">
        <f t="shared" si="9"/>
        <v>2.9000000000000021</v>
      </c>
      <c r="B165" s="2">
        <f t="shared" si="8"/>
        <v>0</v>
      </c>
      <c r="C165" s="2">
        <f t="shared" si="10"/>
        <v>0</v>
      </c>
      <c r="D165" s="2">
        <f t="shared" si="11"/>
        <v>67.050000000000011</v>
      </c>
    </row>
    <row r="166" spans="1:4" s="2" customFormat="1" x14ac:dyDescent="0.25">
      <c r="A166">
        <f t="shared" si="9"/>
        <v>2.9200000000000021</v>
      </c>
      <c r="B166" s="2">
        <f t="shared" si="8"/>
        <v>0</v>
      </c>
      <c r="C166" s="2">
        <f t="shared" si="10"/>
        <v>0</v>
      </c>
      <c r="D166" s="2">
        <f t="shared" si="11"/>
        <v>67.050000000000011</v>
      </c>
    </row>
    <row r="167" spans="1:4" s="2" customFormat="1" x14ac:dyDescent="0.25">
      <c r="A167">
        <f t="shared" si="9"/>
        <v>2.9400000000000022</v>
      </c>
      <c r="B167" s="2">
        <f t="shared" si="8"/>
        <v>0</v>
      </c>
      <c r="C167" s="2">
        <f t="shared" si="10"/>
        <v>0</v>
      </c>
      <c r="D167" s="2">
        <f t="shared" si="11"/>
        <v>67.050000000000011</v>
      </c>
    </row>
    <row r="168" spans="1:4" s="2" customFormat="1" x14ac:dyDescent="0.25">
      <c r="A168">
        <f t="shared" si="9"/>
        <v>2.9600000000000022</v>
      </c>
      <c r="B168" s="2">
        <f t="shared" si="8"/>
        <v>0</v>
      </c>
      <c r="C168" s="2">
        <f t="shared" si="10"/>
        <v>0</v>
      </c>
      <c r="D168" s="2">
        <f t="shared" si="11"/>
        <v>67.050000000000011</v>
      </c>
    </row>
    <row r="169" spans="1:4" s="2" customFormat="1" x14ac:dyDescent="0.25">
      <c r="A169">
        <f t="shared" si="9"/>
        <v>2.9800000000000022</v>
      </c>
      <c r="B169" s="2">
        <f t="shared" si="8"/>
        <v>0</v>
      </c>
      <c r="C169" s="2">
        <f t="shared" si="10"/>
        <v>0</v>
      </c>
      <c r="D169" s="2">
        <f t="shared" si="11"/>
        <v>67.050000000000011</v>
      </c>
    </row>
    <row r="170" spans="1:4" s="2" customFormat="1" x14ac:dyDescent="0.25">
      <c r="A170">
        <f t="shared" si="9"/>
        <v>3.0000000000000022</v>
      </c>
      <c r="B170" s="2">
        <f t="shared" si="8"/>
        <v>0</v>
      </c>
      <c r="C170" s="2">
        <f t="shared" si="10"/>
        <v>0</v>
      </c>
      <c r="D170" s="2">
        <f t="shared" si="11"/>
        <v>67.050000000000011</v>
      </c>
    </row>
    <row r="171" spans="1:4" s="2" customFormat="1" x14ac:dyDescent="0.25">
      <c r="A171">
        <f t="shared" si="9"/>
        <v>3.0200000000000022</v>
      </c>
      <c r="B171" s="2">
        <f t="shared" si="8"/>
        <v>0</v>
      </c>
      <c r="C171" s="2">
        <f t="shared" si="10"/>
        <v>0</v>
      </c>
      <c r="D171" s="2">
        <f t="shared" si="11"/>
        <v>67.050000000000011</v>
      </c>
    </row>
    <row r="172" spans="1:4" s="2" customFormat="1" x14ac:dyDescent="0.25">
      <c r="A172">
        <f t="shared" si="9"/>
        <v>3.0400000000000023</v>
      </c>
      <c r="B172" s="2">
        <f t="shared" si="8"/>
        <v>0</v>
      </c>
      <c r="C172" s="2">
        <f t="shared" si="10"/>
        <v>0</v>
      </c>
      <c r="D172" s="2">
        <f t="shared" si="11"/>
        <v>67.050000000000011</v>
      </c>
    </row>
    <row r="173" spans="1:4" s="2" customFormat="1" x14ac:dyDescent="0.25">
      <c r="A173">
        <f t="shared" si="9"/>
        <v>3.0600000000000023</v>
      </c>
      <c r="B173" s="2">
        <f t="shared" si="8"/>
        <v>0</v>
      </c>
      <c r="C173" s="2">
        <f t="shared" si="10"/>
        <v>0</v>
      </c>
      <c r="D173" s="2">
        <f t="shared" si="11"/>
        <v>67.050000000000011</v>
      </c>
    </row>
    <row r="174" spans="1:4" s="2" customFormat="1" x14ac:dyDescent="0.25">
      <c r="A174">
        <f t="shared" si="9"/>
        <v>3.0800000000000023</v>
      </c>
      <c r="B174" s="2">
        <f t="shared" si="8"/>
        <v>0</v>
      </c>
      <c r="C174" s="2">
        <f t="shared" si="10"/>
        <v>0</v>
      </c>
      <c r="D174" s="2">
        <f t="shared" si="11"/>
        <v>67.050000000000011</v>
      </c>
    </row>
    <row r="175" spans="1:4" s="2" customFormat="1" x14ac:dyDescent="0.25">
      <c r="A175">
        <f t="shared" si="9"/>
        <v>3.1000000000000023</v>
      </c>
      <c r="B175" s="2">
        <f t="shared" si="8"/>
        <v>0</v>
      </c>
      <c r="C175" s="2">
        <f t="shared" si="10"/>
        <v>0</v>
      </c>
      <c r="D175" s="2">
        <f t="shared" si="11"/>
        <v>67.050000000000011</v>
      </c>
    </row>
    <row r="176" spans="1:4" s="2" customFormat="1" x14ac:dyDescent="0.25">
      <c r="A176">
        <f t="shared" si="9"/>
        <v>3.1200000000000023</v>
      </c>
      <c r="B176" s="2">
        <f t="shared" si="8"/>
        <v>0</v>
      </c>
      <c r="C176" s="2">
        <f t="shared" si="10"/>
        <v>0</v>
      </c>
      <c r="D176" s="2">
        <f t="shared" si="11"/>
        <v>67.050000000000011</v>
      </c>
    </row>
    <row r="177" spans="1:4" s="2" customFormat="1" x14ac:dyDescent="0.25">
      <c r="A177">
        <f t="shared" si="9"/>
        <v>3.1400000000000023</v>
      </c>
      <c r="B177" s="2">
        <f t="shared" si="8"/>
        <v>0</v>
      </c>
      <c r="C177" s="2">
        <f t="shared" si="10"/>
        <v>0</v>
      </c>
      <c r="D177" s="2">
        <f t="shared" si="11"/>
        <v>67.050000000000011</v>
      </c>
    </row>
    <row r="178" spans="1:4" s="2" customFormat="1" x14ac:dyDescent="0.25">
      <c r="A178">
        <f t="shared" si="9"/>
        <v>3.1600000000000024</v>
      </c>
      <c r="B178" s="2">
        <f t="shared" si="8"/>
        <v>0</v>
      </c>
      <c r="C178" s="2">
        <f t="shared" si="10"/>
        <v>0</v>
      </c>
      <c r="D178" s="2">
        <f t="shared" si="11"/>
        <v>67.050000000000011</v>
      </c>
    </row>
    <row r="179" spans="1:4" s="2" customFormat="1" x14ac:dyDescent="0.25">
      <c r="A179">
        <f t="shared" si="9"/>
        <v>3.1800000000000024</v>
      </c>
      <c r="B179" s="2">
        <f t="shared" si="8"/>
        <v>0</v>
      </c>
      <c r="C179" s="2">
        <f t="shared" si="10"/>
        <v>0</v>
      </c>
      <c r="D179" s="2">
        <f t="shared" si="11"/>
        <v>67.050000000000011</v>
      </c>
    </row>
    <row r="180" spans="1:4" s="2" customFormat="1" x14ac:dyDescent="0.25">
      <c r="A180">
        <f t="shared" si="9"/>
        <v>3.2000000000000024</v>
      </c>
      <c r="B180" s="2">
        <f t="shared" si="8"/>
        <v>0</v>
      </c>
      <c r="C180" s="2">
        <f t="shared" si="10"/>
        <v>0</v>
      </c>
      <c r="D180" s="2">
        <f t="shared" si="11"/>
        <v>67.050000000000011</v>
      </c>
    </row>
    <row r="181" spans="1:4" s="2" customFormat="1" x14ac:dyDescent="0.25">
      <c r="A181">
        <f t="shared" si="9"/>
        <v>3.2200000000000024</v>
      </c>
      <c r="B181" s="2">
        <f t="shared" si="8"/>
        <v>0</v>
      </c>
      <c r="C181" s="2">
        <f t="shared" si="10"/>
        <v>0</v>
      </c>
      <c r="D181" s="2">
        <f t="shared" si="11"/>
        <v>67.050000000000011</v>
      </c>
    </row>
    <row r="182" spans="1:4" s="2" customFormat="1" x14ac:dyDescent="0.25">
      <c r="A182">
        <f t="shared" si="9"/>
        <v>3.2400000000000024</v>
      </c>
      <c r="B182" s="2">
        <f t="shared" si="8"/>
        <v>0</v>
      </c>
      <c r="C182" s="2">
        <f t="shared" si="10"/>
        <v>0</v>
      </c>
      <c r="D182" s="2">
        <f t="shared" si="11"/>
        <v>67.050000000000011</v>
      </c>
    </row>
    <row r="183" spans="1:4" s="2" customFormat="1" x14ac:dyDescent="0.25">
      <c r="A183">
        <f t="shared" si="9"/>
        <v>3.2600000000000025</v>
      </c>
      <c r="B183" s="2">
        <f t="shared" si="8"/>
        <v>0</v>
      </c>
      <c r="C183" s="2">
        <f t="shared" si="10"/>
        <v>0</v>
      </c>
      <c r="D183" s="2">
        <f t="shared" si="11"/>
        <v>67.050000000000011</v>
      </c>
    </row>
    <row r="184" spans="1:4" s="2" customFormat="1" x14ac:dyDescent="0.25">
      <c r="A184">
        <f t="shared" si="9"/>
        <v>3.2800000000000025</v>
      </c>
      <c r="B184" s="2">
        <f t="shared" si="8"/>
        <v>0</v>
      </c>
      <c r="C184" s="2">
        <f t="shared" si="10"/>
        <v>0</v>
      </c>
      <c r="D184" s="2">
        <f t="shared" si="11"/>
        <v>67.050000000000011</v>
      </c>
    </row>
    <row r="185" spans="1:4" s="2" customFormat="1" x14ac:dyDescent="0.25">
      <c r="A185">
        <f t="shared" si="9"/>
        <v>3.3000000000000025</v>
      </c>
      <c r="B185" s="2">
        <f t="shared" si="8"/>
        <v>0</v>
      </c>
      <c r="C185" s="2">
        <f t="shared" si="10"/>
        <v>0</v>
      </c>
      <c r="D185" s="2">
        <f t="shared" si="11"/>
        <v>67.050000000000011</v>
      </c>
    </row>
    <row r="186" spans="1:4" s="2" customFormat="1" x14ac:dyDescent="0.25">
      <c r="A186">
        <f t="shared" si="9"/>
        <v>3.3200000000000025</v>
      </c>
      <c r="B186" s="2">
        <f t="shared" si="8"/>
        <v>0</v>
      </c>
      <c r="C186" s="2">
        <f t="shared" si="10"/>
        <v>0</v>
      </c>
      <c r="D186" s="2">
        <f t="shared" si="11"/>
        <v>67.050000000000011</v>
      </c>
    </row>
    <row r="187" spans="1:4" s="2" customFormat="1" x14ac:dyDescent="0.25">
      <c r="A187">
        <f t="shared" si="9"/>
        <v>3.3400000000000025</v>
      </c>
      <c r="B187" s="2">
        <f t="shared" si="8"/>
        <v>0</v>
      </c>
      <c r="C187" s="2">
        <f t="shared" si="10"/>
        <v>0</v>
      </c>
      <c r="D187" s="2">
        <f t="shared" si="11"/>
        <v>67.050000000000011</v>
      </c>
    </row>
    <row r="188" spans="1:4" s="2" customFormat="1" x14ac:dyDescent="0.25">
      <c r="A188">
        <f t="shared" si="9"/>
        <v>3.3600000000000025</v>
      </c>
      <c r="B188" s="2">
        <f t="shared" si="8"/>
        <v>0</v>
      </c>
      <c r="C188" s="2">
        <f t="shared" si="10"/>
        <v>0</v>
      </c>
      <c r="D188" s="2">
        <f t="shared" si="11"/>
        <v>67.050000000000011</v>
      </c>
    </row>
    <row r="189" spans="1:4" s="2" customFormat="1" x14ac:dyDescent="0.25">
      <c r="A189">
        <f t="shared" si="9"/>
        <v>3.3800000000000026</v>
      </c>
      <c r="B189" s="2">
        <f t="shared" si="8"/>
        <v>0</v>
      </c>
      <c r="C189" s="2">
        <f t="shared" si="10"/>
        <v>0</v>
      </c>
      <c r="D189" s="2">
        <f t="shared" si="11"/>
        <v>67.050000000000011</v>
      </c>
    </row>
    <row r="190" spans="1:4" s="2" customFormat="1" x14ac:dyDescent="0.25">
      <c r="A190">
        <f t="shared" si="9"/>
        <v>3.4000000000000026</v>
      </c>
      <c r="B190" s="2">
        <f t="shared" si="8"/>
        <v>0</v>
      </c>
      <c r="C190" s="2">
        <f t="shared" si="10"/>
        <v>0</v>
      </c>
      <c r="D190" s="2">
        <f t="shared" si="11"/>
        <v>67.050000000000011</v>
      </c>
    </row>
    <row r="191" spans="1:4" s="2" customFormat="1" x14ac:dyDescent="0.25">
      <c r="A191">
        <f t="shared" si="9"/>
        <v>3.4200000000000026</v>
      </c>
      <c r="B191" s="2">
        <f t="shared" si="8"/>
        <v>0</v>
      </c>
      <c r="C191" s="2">
        <f t="shared" si="10"/>
        <v>0</v>
      </c>
      <c r="D191" s="2">
        <f t="shared" si="11"/>
        <v>67.050000000000011</v>
      </c>
    </row>
    <row r="192" spans="1:4" s="2" customFormat="1" x14ac:dyDescent="0.25">
      <c r="A192">
        <f t="shared" si="9"/>
        <v>3.4400000000000026</v>
      </c>
      <c r="B192" s="2">
        <f t="shared" si="8"/>
        <v>0</v>
      </c>
      <c r="C192" s="2">
        <f t="shared" si="10"/>
        <v>0</v>
      </c>
      <c r="D192" s="2">
        <f t="shared" si="11"/>
        <v>67.050000000000011</v>
      </c>
    </row>
    <row r="193" spans="1:4" s="2" customFormat="1" x14ac:dyDescent="0.25">
      <c r="A193">
        <f t="shared" si="9"/>
        <v>3.4600000000000026</v>
      </c>
      <c r="B193" s="2">
        <f t="shared" si="8"/>
        <v>0</v>
      </c>
      <c r="C193" s="2">
        <f t="shared" si="10"/>
        <v>0</v>
      </c>
      <c r="D193" s="2">
        <f t="shared" si="11"/>
        <v>67.050000000000011</v>
      </c>
    </row>
    <row r="194" spans="1:4" s="2" customFormat="1" x14ac:dyDescent="0.25">
      <c r="A194">
        <f t="shared" si="9"/>
        <v>3.4800000000000026</v>
      </c>
      <c r="B194" s="2">
        <f t="shared" si="8"/>
        <v>0</v>
      </c>
      <c r="C194" s="2">
        <f t="shared" si="10"/>
        <v>0</v>
      </c>
      <c r="D194" s="2">
        <f t="shared" si="11"/>
        <v>67.050000000000011</v>
      </c>
    </row>
    <row r="195" spans="1:4" s="2" customFormat="1" x14ac:dyDescent="0.25">
      <c r="A195">
        <f t="shared" si="9"/>
        <v>3.5000000000000027</v>
      </c>
      <c r="B195" s="2">
        <f t="shared" si="8"/>
        <v>0</v>
      </c>
      <c r="C195" s="2">
        <f t="shared" si="10"/>
        <v>0</v>
      </c>
      <c r="D195" s="2">
        <f t="shared" si="11"/>
        <v>67.050000000000011</v>
      </c>
    </row>
    <row r="196" spans="1:4" s="2" customFormat="1" x14ac:dyDescent="0.25">
      <c r="A196">
        <f t="shared" si="9"/>
        <v>3.5200000000000027</v>
      </c>
      <c r="B196" s="2">
        <f t="shared" si="8"/>
        <v>0</v>
      </c>
      <c r="C196" s="2">
        <f t="shared" si="10"/>
        <v>0</v>
      </c>
      <c r="D196" s="2">
        <f t="shared" si="11"/>
        <v>67.050000000000011</v>
      </c>
    </row>
    <row r="197" spans="1:4" s="2" customFormat="1" x14ac:dyDescent="0.25">
      <c r="A197">
        <f t="shared" si="9"/>
        <v>3.5400000000000027</v>
      </c>
      <c r="B197" s="2">
        <f t="shared" si="8"/>
        <v>0</v>
      </c>
      <c r="C197" s="2">
        <f t="shared" si="10"/>
        <v>0</v>
      </c>
      <c r="D197" s="2">
        <f t="shared" si="11"/>
        <v>67.050000000000011</v>
      </c>
    </row>
    <row r="198" spans="1:4" s="2" customFormat="1" x14ac:dyDescent="0.25">
      <c r="A198">
        <f t="shared" si="9"/>
        <v>3.5600000000000027</v>
      </c>
      <c r="B198" s="2">
        <f t="shared" si="8"/>
        <v>0</v>
      </c>
      <c r="C198" s="2">
        <f t="shared" si="10"/>
        <v>0</v>
      </c>
      <c r="D198" s="2">
        <f t="shared" si="11"/>
        <v>67.050000000000011</v>
      </c>
    </row>
    <row r="199" spans="1:4" s="2" customFormat="1" x14ac:dyDescent="0.25">
      <c r="A199">
        <f t="shared" si="9"/>
        <v>3.5800000000000027</v>
      </c>
      <c r="B199" s="2">
        <f t="shared" si="8"/>
        <v>0</v>
      </c>
      <c r="C199" s="2">
        <f t="shared" si="10"/>
        <v>0</v>
      </c>
      <c r="D199" s="2">
        <f t="shared" si="11"/>
        <v>67.050000000000011</v>
      </c>
    </row>
    <row r="200" spans="1:4" s="2" customFormat="1" x14ac:dyDescent="0.25">
      <c r="A200">
        <f t="shared" si="9"/>
        <v>3.6000000000000028</v>
      </c>
      <c r="B200" s="2">
        <f t="shared" si="8"/>
        <v>0</v>
      </c>
      <c r="C200" s="2">
        <f t="shared" si="10"/>
        <v>0</v>
      </c>
      <c r="D200" s="2">
        <f t="shared" si="11"/>
        <v>67.050000000000011</v>
      </c>
    </row>
    <row r="201" spans="1:4" s="2" customFormat="1" x14ac:dyDescent="0.25">
      <c r="A201">
        <f t="shared" si="9"/>
        <v>3.6200000000000028</v>
      </c>
      <c r="B201" s="2">
        <f t="shared" si="8"/>
        <v>0</v>
      </c>
      <c r="C201" s="2">
        <f t="shared" si="10"/>
        <v>0</v>
      </c>
      <c r="D201" s="2">
        <f t="shared" si="11"/>
        <v>67.050000000000011</v>
      </c>
    </row>
    <row r="202" spans="1:4" s="2" customFormat="1" x14ac:dyDescent="0.25">
      <c r="A202">
        <f t="shared" si="9"/>
        <v>3.6400000000000028</v>
      </c>
      <c r="B202" s="2">
        <f t="shared" si="8"/>
        <v>0</v>
      </c>
      <c r="C202" s="2">
        <f t="shared" si="10"/>
        <v>0</v>
      </c>
      <c r="D202" s="2">
        <f t="shared" si="11"/>
        <v>67.050000000000011</v>
      </c>
    </row>
    <row r="203" spans="1:4" s="2" customFormat="1" x14ac:dyDescent="0.25">
      <c r="A203">
        <f t="shared" si="9"/>
        <v>3.6600000000000028</v>
      </c>
      <c r="B203" s="2">
        <f t="shared" si="8"/>
        <v>0</v>
      </c>
      <c r="C203" s="2">
        <f t="shared" si="10"/>
        <v>0</v>
      </c>
      <c r="D203" s="2">
        <f t="shared" si="11"/>
        <v>67.050000000000011</v>
      </c>
    </row>
    <row r="204" spans="1:4" s="2" customFormat="1" x14ac:dyDescent="0.25">
      <c r="A204">
        <f t="shared" si="9"/>
        <v>3.6800000000000028</v>
      </c>
      <c r="B204" s="2">
        <f t="shared" si="8"/>
        <v>0</v>
      </c>
      <c r="C204" s="2">
        <f t="shared" si="10"/>
        <v>0</v>
      </c>
      <c r="D204" s="2">
        <f t="shared" si="11"/>
        <v>67.050000000000011</v>
      </c>
    </row>
    <row r="205" spans="1:4" s="2" customFormat="1" x14ac:dyDescent="0.25">
      <c r="A205">
        <f t="shared" si="9"/>
        <v>3.7000000000000028</v>
      </c>
      <c r="B205" s="2">
        <f t="shared" si="8"/>
        <v>0</v>
      </c>
      <c r="C205" s="2">
        <f t="shared" si="10"/>
        <v>0</v>
      </c>
      <c r="D205" s="2">
        <f t="shared" si="11"/>
        <v>67.050000000000011</v>
      </c>
    </row>
    <row r="206" spans="1:4" s="2" customFormat="1" x14ac:dyDescent="0.25">
      <c r="A206">
        <f t="shared" si="9"/>
        <v>3.7200000000000029</v>
      </c>
      <c r="B206" s="2">
        <f t="shared" si="8"/>
        <v>0</v>
      </c>
      <c r="C206" s="2">
        <f t="shared" si="10"/>
        <v>0</v>
      </c>
      <c r="D206" s="2">
        <f t="shared" si="11"/>
        <v>67.050000000000011</v>
      </c>
    </row>
    <row r="207" spans="1:4" s="2" customFormat="1" x14ac:dyDescent="0.25">
      <c r="A207">
        <f t="shared" si="9"/>
        <v>3.7400000000000029</v>
      </c>
      <c r="B207" s="2">
        <f t="shared" si="8"/>
        <v>0</v>
      </c>
      <c r="C207" s="2">
        <f t="shared" si="10"/>
        <v>0</v>
      </c>
      <c r="D207" s="2">
        <f t="shared" si="11"/>
        <v>67.050000000000011</v>
      </c>
    </row>
    <row r="208" spans="1:4" s="2" customFormat="1" x14ac:dyDescent="0.25">
      <c r="A208">
        <f t="shared" si="9"/>
        <v>3.7600000000000029</v>
      </c>
      <c r="B208" s="2">
        <f t="shared" si="8"/>
        <v>0</v>
      </c>
      <c r="C208" s="2">
        <f t="shared" si="10"/>
        <v>0</v>
      </c>
      <c r="D208" s="2">
        <f t="shared" si="11"/>
        <v>67.050000000000011</v>
      </c>
    </row>
    <row r="209" spans="1:4" s="2" customFormat="1" x14ac:dyDescent="0.25">
      <c r="A209">
        <f t="shared" si="9"/>
        <v>3.7800000000000029</v>
      </c>
      <c r="B209" s="2">
        <f t="shared" si="8"/>
        <v>0</v>
      </c>
      <c r="C209" s="2">
        <f t="shared" si="10"/>
        <v>0</v>
      </c>
      <c r="D209" s="2">
        <f t="shared" si="11"/>
        <v>67.050000000000011</v>
      </c>
    </row>
    <row r="210" spans="1:4" s="2" customFormat="1" x14ac:dyDescent="0.25">
      <c r="A210">
        <f t="shared" si="9"/>
        <v>3.8000000000000029</v>
      </c>
      <c r="B210" s="2">
        <f t="shared" si="8"/>
        <v>0</v>
      </c>
      <c r="C210" s="2">
        <f t="shared" si="10"/>
        <v>0</v>
      </c>
      <c r="D210" s="2">
        <f t="shared" si="11"/>
        <v>67.050000000000011</v>
      </c>
    </row>
    <row r="211" spans="1:4" s="2" customFormat="1" x14ac:dyDescent="0.25">
      <c r="A211">
        <f t="shared" si="9"/>
        <v>3.8200000000000029</v>
      </c>
      <c r="B211" s="2">
        <f t="shared" si="8"/>
        <v>0</v>
      </c>
      <c r="C211" s="2">
        <f t="shared" si="10"/>
        <v>0</v>
      </c>
      <c r="D211" s="2">
        <f t="shared" si="11"/>
        <v>67.050000000000011</v>
      </c>
    </row>
    <row r="212" spans="1:4" s="2" customFormat="1" x14ac:dyDescent="0.25">
      <c r="A212">
        <f t="shared" si="9"/>
        <v>3.840000000000003</v>
      </c>
      <c r="B212" s="2">
        <f t="shared" si="8"/>
        <v>0</v>
      </c>
      <c r="C212" s="2">
        <f t="shared" si="10"/>
        <v>0</v>
      </c>
      <c r="D212" s="2">
        <f t="shared" si="11"/>
        <v>67.050000000000011</v>
      </c>
    </row>
    <row r="213" spans="1:4" s="2" customFormat="1" x14ac:dyDescent="0.25">
      <c r="A213">
        <f t="shared" si="9"/>
        <v>3.860000000000003</v>
      </c>
      <c r="B213" s="2">
        <f t="shared" ref="B213:B276" si="12">MAX(0,IF(A213&lt;$B$14,B212+$B$8,IF(AND(A213&gt;=$B$14,A213&lt;=$B$15),$B$11/$B$2,B212-$B$8)))</f>
        <v>0</v>
      </c>
      <c r="C213" s="2">
        <f t="shared" si="10"/>
        <v>0</v>
      </c>
      <c r="D213" s="2">
        <f t="shared" si="11"/>
        <v>67.050000000000011</v>
      </c>
    </row>
    <row r="214" spans="1:4" s="2" customFormat="1" x14ac:dyDescent="0.25">
      <c r="A214">
        <f t="shared" ref="A214:A277" si="13">A213+$B$1</f>
        <v>3.880000000000003</v>
      </c>
      <c r="B214" s="2">
        <f t="shared" si="12"/>
        <v>0</v>
      </c>
      <c r="C214" s="2">
        <f t="shared" ref="C214:C277" si="14">B214*$B$2</f>
        <v>0</v>
      </c>
      <c r="D214" s="2">
        <f t="shared" ref="D214:D277" si="15">D213+C213*$B$1</f>
        <v>67.050000000000011</v>
      </c>
    </row>
    <row r="215" spans="1:4" s="2" customFormat="1" x14ac:dyDescent="0.25">
      <c r="A215">
        <f t="shared" si="13"/>
        <v>3.900000000000003</v>
      </c>
      <c r="B215" s="2">
        <f t="shared" si="12"/>
        <v>0</v>
      </c>
      <c r="C215" s="2">
        <f t="shared" si="14"/>
        <v>0</v>
      </c>
      <c r="D215" s="2">
        <f t="shared" si="15"/>
        <v>67.050000000000011</v>
      </c>
    </row>
    <row r="216" spans="1:4" s="2" customFormat="1" x14ac:dyDescent="0.25">
      <c r="A216">
        <f t="shared" si="13"/>
        <v>3.920000000000003</v>
      </c>
      <c r="B216" s="2">
        <f t="shared" si="12"/>
        <v>0</v>
      </c>
      <c r="C216" s="2">
        <f t="shared" si="14"/>
        <v>0</v>
      </c>
      <c r="D216" s="2">
        <f t="shared" si="15"/>
        <v>67.050000000000011</v>
      </c>
    </row>
    <row r="217" spans="1:4" s="2" customFormat="1" x14ac:dyDescent="0.25">
      <c r="A217">
        <f t="shared" si="13"/>
        <v>3.9400000000000031</v>
      </c>
      <c r="B217" s="2">
        <f t="shared" si="12"/>
        <v>0</v>
      </c>
      <c r="C217" s="2">
        <f t="shared" si="14"/>
        <v>0</v>
      </c>
      <c r="D217" s="2">
        <f t="shared" si="15"/>
        <v>67.050000000000011</v>
      </c>
    </row>
    <row r="218" spans="1:4" s="2" customFormat="1" x14ac:dyDescent="0.25">
      <c r="A218">
        <f t="shared" si="13"/>
        <v>3.9600000000000031</v>
      </c>
      <c r="B218" s="2">
        <f t="shared" si="12"/>
        <v>0</v>
      </c>
      <c r="C218" s="2">
        <f t="shared" si="14"/>
        <v>0</v>
      </c>
      <c r="D218" s="2">
        <f t="shared" si="15"/>
        <v>67.050000000000011</v>
      </c>
    </row>
    <row r="219" spans="1:4" s="2" customFormat="1" x14ac:dyDescent="0.25">
      <c r="A219">
        <f t="shared" si="13"/>
        <v>3.9800000000000031</v>
      </c>
      <c r="B219" s="2">
        <f t="shared" si="12"/>
        <v>0</v>
      </c>
      <c r="C219" s="2">
        <f t="shared" si="14"/>
        <v>0</v>
      </c>
      <c r="D219" s="2">
        <f t="shared" si="15"/>
        <v>67.050000000000011</v>
      </c>
    </row>
    <row r="220" spans="1:4" s="2" customFormat="1" x14ac:dyDescent="0.25">
      <c r="A220">
        <f t="shared" si="13"/>
        <v>4.0000000000000027</v>
      </c>
      <c r="B220" s="2">
        <f t="shared" si="12"/>
        <v>0</v>
      </c>
      <c r="C220" s="2">
        <f t="shared" si="14"/>
        <v>0</v>
      </c>
      <c r="D220" s="2">
        <f t="shared" si="15"/>
        <v>67.050000000000011</v>
      </c>
    </row>
    <row r="221" spans="1:4" s="2" customFormat="1" x14ac:dyDescent="0.25">
      <c r="A221">
        <f t="shared" si="13"/>
        <v>4.0200000000000022</v>
      </c>
      <c r="B221" s="2">
        <f t="shared" si="12"/>
        <v>0</v>
      </c>
      <c r="C221" s="2">
        <f t="shared" si="14"/>
        <v>0</v>
      </c>
      <c r="D221" s="2">
        <f t="shared" si="15"/>
        <v>67.050000000000011</v>
      </c>
    </row>
    <row r="222" spans="1:4" s="2" customFormat="1" x14ac:dyDescent="0.25">
      <c r="A222">
        <f t="shared" si="13"/>
        <v>4.0400000000000018</v>
      </c>
      <c r="B222" s="2">
        <f t="shared" si="12"/>
        <v>0</v>
      </c>
      <c r="C222" s="2">
        <f t="shared" si="14"/>
        <v>0</v>
      </c>
      <c r="D222" s="2">
        <f t="shared" si="15"/>
        <v>67.050000000000011</v>
      </c>
    </row>
    <row r="223" spans="1:4" s="2" customFormat="1" x14ac:dyDescent="0.25">
      <c r="A223">
        <f t="shared" si="13"/>
        <v>4.0600000000000014</v>
      </c>
      <c r="B223" s="2">
        <f t="shared" si="12"/>
        <v>0</v>
      </c>
      <c r="C223" s="2">
        <f t="shared" si="14"/>
        <v>0</v>
      </c>
      <c r="D223" s="2">
        <f t="shared" si="15"/>
        <v>67.050000000000011</v>
      </c>
    </row>
    <row r="224" spans="1:4" s="2" customFormat="1" x14ac:dyDescent="0.25">
      <c r="A224">
        <f t="shared" si="13"/>
        <v>4.080000000000001</v>
      </c>
      <c r="B224" s="2">
        <f t="shared" si="12"/>
        <v>0</v>
      </c>
      <c r="C224" s="2">
        <f t="shared" si="14"/>
        <v>0</v>
      </c>
      <c r="D224" s="2">
        <f t="shared" si="15"/>
        <v>67.050000000000011</v>
      </c>
    </row>
    <row r="225" spans="1:4" s="2" customFormat="1" x14ac:dyDescent="0.25">
      <c r="A225">
        <f t="shared" si="13"/>
        <v>4.1000000000000005</v>
      </c>
      <c r="B225" s="2">
        <f t="shared" si="12"/>
        <v>0</v>
      </c>
      <c r="C225" s="2">
        <f t="shared" si="14"/>
        <v>0</v>
      </c>
      <c r="D225" s="2">
        <f t="shared" si="15"/>
        <v>67.050000000000011</v>
      </c>
    </row>
    <row r="226" spans="1:4" s="2" customFormat="1" x14ac:dyDescent="0.25">
      <c r="A226">
        <f t="shared" si="13"/>
        <v>4.12</v>
      </c>
      <c r="B226" s="2">
        <f t="shared" si="12"/>
        <v>0</v>
      </c>
      <c r="C226" s="2">
        <f t="shared" si="14"/>
        <v>0</v>
      </c>
      <c r="D226" s="2">
        <f t="shared" si="15"/>
        <v>67.050000000000011</v>
      </c>
    </row>
    <row r="227" spans="1:4" s="2" customFormat="1" x14ac:dyDescent="0.25">
      <c r="A227">
        <f t="shared" si="13"/>
        <v>4.1399999999999997</v>
      </c>
      <c r="B227" s="2">
        <f t="shared" si="12"/>
        <v>0</v>
      </c>
      <c r="C227" s="2">
        <f t="shared" si="14"/>
        <v>0</v>
      </c>
      <c r="D227" s="2">
        <f t="shared" si="15"/>
        <v>67.050000000000011</v>
      </c>
    </row>
    <row r="228" spans="1:4" s="2" customFormat="1" x14ac:dyDescent="0.25">
      <c r="A228">
        <f t="shared" si="13"/>
        <v>4.1599999999999993</v>
      </c>
      <c r="B228" s="2">
        <f t="shared" si="12"/>
        <v>0</v>
      </c>
      <c r="C228" s="2">
        <f t="shared" si="14"/>
        <v>0</v>
      </c>
      <c r="D228" s="2">
        <f t="shared" si="15"/>
        <v>67.050000000000011</v>
      </c>
    </row>
    <row r="229" spans="1:4" s="2" customFormat="1" x14ac:dyDescent="0.25">
      <c r="A229">
        <f t="shared" si="13"/>
        <v>4.1799999999999988</v>
      </c>
      <c r="B229" s="2">
        <f t="shared" si="12"/>
        <v>0</v>
      </c>
      <c r="C229" s="2">
        <f t="shared" si="14"/>
        <v>0</v>
      </c>
      <c r="D229" s="2">
        <f t="shared" si="15"/>
        <v>67.050000000000011</v>
      </c>
    </row>
    <row r="230" spans="1:4" s="2" customFormat="1" x14ac:dyDescent="0.25">
      <c r="A230">
        <f t="shared" si="13"/>
        <v>4.1999999999999984</v>
      </c>
      <c r="B230" s="2">
        <f t="shared" si="12"/>
        <v>0</v>
      </c>
      <c r="C230" s="2">
        <f t="shared" si="14"/>
        <v>0</v>
      </c>
      <c r="D230" s="2">
        <f t="shared" si="15"/>
        <v>67.050000000000011</v>
      </c>
    </row>
    <row r="231" spans="1:4" s="2" customFormat="1" x14ac:dyDescent="0.25">
      <c r="A231">
        <f t="shared" si="13"/>
        <v>4.219999999999998</v>
      </c>
      <c r="B231" s="2">
        <f t="shared" si="12"/>
        <v>0</v>
      </c>
      <c r="C231" s="2">
        <f t="shared" si="14"/>
        <v>0</v>
      </c>
      <c r="D231" s="2">
        <f t="shared" si="15"/>
        <v>67.050000000000011</v>
      </c>
    </row>
    <row r="232" spans="1:4" s="2" customFormat="1" x14ac:dyDescent="0.25">
      <c r="A232">
        <f t="shared" si="13"/>
        <v>4.2399999999999975</v>
      </c>
      <c r="B232" s="2">
        <f t="shared" si="12"/>
        <v>0</v>
      </c>
      <c r="C232" s="2">
        <f t="shared" si="14"/>
        <v>0</v>
      </c>
      <c r="D232" s="2">
        <f t="shared" si="15"/>
        <v>67.050000000000011</v>
      </c>
    </row>
    <row r="233" spans="1:4" s="2" customFormat="1" x14ac:dyDescent="0.25">
      <c r="A233">
        <f t="shared" si="13"/>
        <v>4.2599999999999971</v>
      </c>
      <c r="B233" s="2">
        <f t="shared" si="12"/>
        <v>0</v>
      </c>
      <c r="C233" s="2">
        <f t="shared" si="14"/>
        <v>0</v>
      </c>
      <c r="D233" s="2">
        <f t="shared" si="15"/>
        <v>67.050000000000011</v>
      </c>
    </row>
    <row r="234" spans="1:4" s="2" customFormat="1" x14ac:dyDescent="0.25">
      <c r="A234">
        <f t="shared" si="13"/>
        <v>4.2799999999999967</v>
      </c>
      <c r="B234" s="2">
        <f t="shared" si="12"/>
        <v>0</v>
      </c>
      <c r="C234" s="2">
        <f t="shared" si="14"/>
        <v>0</v>
      </c>
      <c r="D234" s="2">
        <f t="shared" si="15"/>
        <v>67.050000000000011</v>
      </c>
    </row>
    <row r="235" spans="1:4" s="2" customFormat="1" x14ac:dyDescent="0.25">
      <c r="A235">
        <f t="shared" si="13"/>
        <v>4.2999999999999963</v>
      </c>
      <c r="B235" s="2">
        <f t="shared" si="12"/>
        <v>0</v>
      </c>
      <c r="C235" s="2">
        <f t="shared" si="14"/>
        <v>0</v>
      </c>
      <c r="D235" s="2">
        <f t="shared" si="15"/>
        <v>67.050000000000011</v>
      </c>
    </row>
    <row r="236" spans="1:4" s="2" customFormat="1" x14ac:dyDescent="0.25">
      <c r="A236">
        <f t="shared" si="13"/>
        <v>4.3199999999999958</v>
      </c>
      <c r="B236" s="2">
        <f t="shared" si="12"/>
        <v>0</v>
      </c>
      <c r="C236" s="2">
        <f t="shared" si="14"/>
        <v>0</v>
      </c>
      <c r="D236" s="2">
        <f t="shared" si="15"/>
        <v>67.050000000000011</v>
      </c>
    </row>
    <row r="237" spans="1:4" s="2" customFormat="1" x14ac:dyDescent="0.25">
      <c r="A237">
        <f t="shared" si="13"/>
        <v>4.3399999999999954</v>
      </c>
      <c r="B237" s="2">
        <f t="shared" si="12"/>
        <v>0</v>
      </c>
      <c r="C237" s="2">
        <f t="shared" si="14"/>
        <v>0</v>
      </c>
      <c r="D237" s="2">
        <f t="shared" si="15"/>
        <v>67.050000000000011</v>
      </c>
    </row>
    <row r="238" spans="1:4" s="2" customFormat="1" x14ac:dyDescent="0.25">
      <c r="A238">
        <f t="shared" si="13"/>
        <v>4.359999999999995</v>
      </c>
      <c r="B238" s="2">
        <f t="shared" si="12"/>
        <v>0</v>
      </c>
      <c r="C238" s="2">
        <f t="shared" si="14"/>
        <v>0</v>
      </c>
      <c r="D238" s="2">
        <f t="shared" si="15"/>
        <v>67.050000000000011</v>
      </c>
    </row>
    <row r="239" spans="1:4" s="2" customFormat="1" x14ac:dyDescent="0.25">
      <c r="A239">
        <f t="shared" si="13"/>
        <v>4.3799999999999946</v>
      </c>
      <c r="B239" s="2">
        <f t="shared" si="12"/>
        <v>0</v>
      </c>
      <c r="C239" s="2">
        <f t="shared" si="14"/>
        <v>0</v>
      </c>
      <c r="D239" s="2">
        <f t="shared" si="15"/>
        <v>67.050000000000011</v>
      </c>
    </row>
    <row r="240" spans="1:4" s="2" customFormat="1" x14ac:dyDescent="0.25">
      <c r="A240">
        <f t="shared" si="13"/>
        <v>4.3999999999999941</v>
      </c>
      <c r="B240" s="2">
        <f t="shared" si="12"/>
        <v>0</v>
      </c>
      <c r="C240" s="2">
        <f t="shared" si="14"/>
        <v>0</v>
      </c>
      <c r="D240" s="2">
        <f t="shared" si="15"/>
        <v>67.050000000000011</v>
      </c>
    </row>
    <row r="241" spans="1:4" s="2" customFormat="1" x14ac:dyDescent="0.25">
      <c r="A241">
        <f t="shared" si="13"/>
        <v>4.4199999999999937</v>
      </c>
      <c r="B241" s="2">
        <f t="shared" si="12"/>
        <v>0</v>
      </c>
      <c r="C241" s="2">
        <f t="shared" si="14"/>
        <v>0</v>
      </c>
      <c r="D241" s="2">
        <f t="shared" si="15"/>
        <v>67.050000000000011</v>
      </c>
    </row>
    <row r="242" spans="1:4" s="2" customFormat="1" x14ac:dyDescent="0.25">
      <c r="A242">
        <f t="shared" si="13"/>
        <v>4.4399999999999933</v>
      </c>
      <c r="B242" s="2">
        <f t="shared" si="12"/>
        <v>0</v>
      </c>
      <c r="C242" s="2">
        <f t="shared" si="14"/>
        <v>0</v>
      </c>
      <c r="D242" s="2">
        <f t="shared" si="15"/>
        <v>67.050000000000011</v>
      </c>
    </row>
    <row r="243" spans="1:4" s="2" customFormat="1" x14ac:dyDescent="0.25">
      <c r="A243">
        <f t="shared" si="13"/>
        <v>4.4599999999999929</v>
      </c>
      <c r="B243" s="2">
        <f t="shared" si="12"/>
        <v>0</v>
      </c>
      <c r="C243" s="2">
        <f t="shared" si="14"/>
        <v>0</v>
      </c>
      <c r="D243" s="2">
        <f t="shared" si="15"/>
        <v>67.050000000000011</v>
      </c>
    </row>
    <row r="244" spans="1:4" s="2" customFormat="1" x14ac:dyDescent="0.25">
      <c r="A244">
        <f t="shared" si="13"/>
        <v>4.4799999999999924</v>
      </c>
      <c r="B244" s="2">
        <f t="shared" si="12"/>
        <v>0</v>
      </c>
      <c r="C244" s="2">
        <f t="shared" si="14"/>
        <v>0</v>
      </c>
      <c r="D244" s="2">
        <f t="shared" si="15"/>
        <v>67.050000000000011</v>
      </c>
    </row>
    <row r="245" spans="1:4" s="2" customFormat="1" x14ac:dyDescent="0.25">
      <c r="A245">
        <f t="shared" si="13"/>
        <v>4.499999999999992</v>
      </c>
      <c r="B245" s="2">
        <f t="shared" si="12"/>
        <v>0</v>
      </c>
      <c r="C245" s="2">
        <f t="shared" si="14"/>
        <v>0</v>
      </c>
      <c r="D245" s="2">
        <f t="shared" si="15"/>
        <v>67.050000000000011</v>
      </c>
    </row>
    <row r="246" spans="1:4" s="2" customFormat="1" x14ac:dyDescent="0.25">
      <c r="A246">
        <f t="shared" si="13"/>
        <v>4.5199999999999916</v>
      </c>
      <c r="B246" s="2">
        <f t="shared" si="12"/>
        <v>0</v>
      </c>
      <c r="C246" s="2">
        <f t="shared" si="14"/>
        <v>0</v>
      </c>
      <c r="D246" s="2">
        <f t="shared" si="15"/>
        <v>67.050000000000011</v>
      </c>
    </row>
    <row r="247" spans="1:4" s="2" customFormat="1" x14ac:dyDescent="0.25">
      <c r="A247">
        <f t="shared" si="13"/>
        <v>4.5399999999999912</v>
      </c>
      <c r="B247" s="2">
        <f t="shared" si="12"/>
        <v>0</v>
      </c>
      <c r="C247" s="2">
        <f t="shared" si="14"/>
        <v>0</v>
      </c>
      <c r="D247" s="2">
        <f t="shared" si="15"/>
        <v>67.050000000000011</v>
      </c>
    </row>
    <row r="248" spans="1:4" s="2" customFormat="1" x14ac:dyDescent="0.25">
      <c r="A248">
        <f t="shared" si="13"/>
        <v>4.5599999999999907</v>
      </c>
      <c r="B248" s="2">
        <f t="shared" si="12"/>
        <v>0</v>
      </c>
      <c r="C248" s="2">
        <f t="shared" si="14"/>
        <v>0</v>
      </c>
      <c r="D248" s="2">
        <f t="shared" si="15"/>
        <v>67.050000000000011</v>
      </c>
    </row>
    <row r="249" spans="1:4" s="2" customFormat="1" x14ac:dyDescent="0.25">
      <c r="A249">
        <f t="shared" si="13"/>
        <v>4.5799999999999903</v>
      </c>
      <c r="B249" s="2">
        <f t="shared" si="12"/>
        <v>0</v>
      </c>
      <c r="C249" s="2">
        <f t="shared" si="14"/>
        <v>0</v>
      </c>
      <c r="D249" s="2">
        <f t="shared" si="15"/>
        <v>67.050000000000011</v>
      </c>
    </row>
    <row r="250" spans="1:4" s="2" customFormat="1" x14ac:dyDescent="0.25">
      <c r="A250">
        <f t="shared" si="13"/>
        <v>4.5999999999999899</v>
      </c>
      <c r="B250" s="2">
        <f t="shared" si="12"/>
        <v>0</v>
      </c>
      <c r="C250" s="2">
        <f t="shared" si="14"/>
        <v>0</v>
      </c>
      <c r="D250" s="2">
        <f t="shared" si="15"/>
        <v>67.050000000000011</v>
      </c>
    </row>
    <row r="251" spans="1:4" s="2" customFormat="1" x14ac:dyDescent="0.25">
      <c r="A251">
        <f t="shared" si="13"/>
        <v>4.6199999999999894</v>
      </c>
      <c r="B251" s="2">
        <f t="shared" si="12"/>
        <v>0</v>
      </c>
      <c r="C251" s="2">
        <f t="shared" si="14"/>
        <v>0</v>
      </c>
      <c r="D251" s="2">
        <f t="shared" si="15"/>
        <v>67.050000000000011</v>
      </c>
    </row>
    <row r="252" spans="1:4" s="2" customFormat="1" x14ac:dyDescent="0.25">
      <c r="A252">
        <f t="shared" si="13"/>
        <v>4.639999999999989</v>
      </c>
      <c r="B252" s="2">
        <f t="shared" si="12"/>
        <v>0</v>
      </c>
      <c r="C252" s="2">
        <f t="shared" si="14"/>
        <v>0</v>
      </c>
      <c r="D252" s="2">
        <f t="shared" si="15"/>
        <v>67.050000000000011</v>
      </c>
    </row>
    <row r="253" spans="1:4" s="2" customFormat="1" x14ac:dyDescent="0.25">
      <c r="A253">
        <f t="shared" si="13"/>
        <v>4.6599999999999886</v>
      </c>
      <c r="B253" s="2">
        <f t="shared" si="12"/>
        <v>0</v>
      </c>
      <c r="C253" s="2">
        <f t="shared" si="14"/>
        <v>0</v>
      </c>
      <c r="D253" s="2">
        <f t="shared" si="15"/>
        <v>67.050000000000011</v>
      </c>
    </row>
    <row r="254" spans="1:4" s="2" customFormat="1" x14ac:dyDescent="0.25">
      <c r="A254">
        <f t="shared" si="13"/>
        <v>4.6799999999999882</v>
      </c>
      <c r="B254" s="2">
        <f t="shared" si="12"/>
        <v>0</v>
      </c>
      <c r="C254" s="2">
        <f t="shared" si="14"/>
        <v>0</v>
      </c>
      <c r="D254" s="2">
        <f t="shared" si="15"/>
        <v>67.050000000000011</v>
      </c>
    </row>
    <row r="255" spans="1:4" s="2" customFormat="1" x14ac:dyDescent="0.25">
      <c r="A255">
        <f t="shared" si="13"/>
        <v>4.6999999999999877</v>
      </c>
      <c r="B255" s="2">
        <f t="shared" si="12"/>
        <v>0</v>
      </c>
      <c r="C255" s="2">
        <f t="shared" si="14"/>
        <v>0</v>
      </c>
      <c r="D255" s="2">
        <f t="shared" si="15"/>
        <v>67.050000000000011</v>
      </c>
    </row>
    <row r="256" spans="1:4" s="2" customFormat="1" x14ac:dyDescent="0.25">
      <c r="A256">
        <f t="shared" si="13"/>
        <v>4.7199999999999873</v>
      </c>
      <c r="B256" s="2">
        <f t="shared" si="12"/>
        <v>0</v>
      </c>
      <c r="C256" s="2">
        <f t="shared" si="14"/>
        <v>0</v>
      </c>
      <c r="D256" s="2">
        <f t="shared" si="15"/>
        <v>67.050000000000011</v>
      </c>
    </row>
    <row r="257" spans="1:4" s="2" customFormat="1" x14ac:dyDescent="0.25">
      <c r="A257">
        <f t="shared" si="13"/>
        <v>4.7399999999999869</v>
      </c>
      <c r="B257" s="2">
        <f t="shared" si="12"/>
        <v>0</v>
      </c>
      <c r="C257" s="2">
        <f t="shared" si="14"/>
        <v>0</v>
      </c>
      <c r="D257" s="2">
        <f t="shared" si="15"/>
        <v>67.050000000000011</v>
      </c>
    </row>
    <row r="258" spans="1:4" s="2" customFormat="1" x14ac:dyDescent="0.25">
      <c r="A258">
        <f t="shared" si="13"/>
        <v>4.7599999999999865</v>
      </c>
      <c r="B258" s="2">
        <f t="shared" si="12"/>
        <v>0</v>
      </c>
      <c r="C258" s="2">
        <f t="shared" si="14"/>
        <v>0</v>
      </c>
      <c r="D258" s="2">
        <f t="shared" si="15"/>
        <v>67.050000000000011</v>
      </c>
    </row>
    <row r="259" spans="1:4" s="2" customFormat="1" x14ac:dyDescent="0.25">
      <c r="A259">
        <f t="shared" si="13"/>
        <v>4.779999999999986</v>
      </c>
      <c r="B259" s="2">
        <f t="shared" si="12"/>
        <v>0</v>
      </c>
      <c r="C259" s="2">
        <f t="shared" si="14"/>
        <v>0</v>
      </c>
      <c r="D259" s="2">
        <f t="shared" si="15"/>
        <v>67.050000000000011</v>
      </c>
    </row>
    <row r="260" spans="1:4" s="2" customFormat="1" x14ac:dyDescent="0.25">
      <c r="A260">
        <f t="shared" si="13"/>
        <v>4.7999999999999856</v>
      </c>
      <c r="B260" s="2">
        <f t="shared" si="12"/>
        <v>0</v>
      </c>
      <c r="C260" s="2">
        <f t="shared" si="14"/>
        <v>0</v>
      </c>
      <c r="D260" s="2">
        <f t="shared" si="15"/>
        <v>67.050000000000011</v>
      </c>
    </row>
    <row r="261" spans="1:4" s="2" customFormat="1" x14ac:dyDescent="0.25">
      <c r="A261">
        <f t="shared" si="13"/>
        <v>4.8199999999999852</v>
      </c>
      <c r="B261" s="2">
        <f t="shared" si="12"/>
        <v>0</v>
      </c>
      <c r="C261" s="2">
        <f t="shared" si="14"/>
        <v>0</v>
      </c>
      <c r="D261" s="2">
        <f t="shared" si="15"/>
        <v>67.050000000000011</v>
      </c>
    </row>
    <row r="262" spans="1:4" s="2" customFormat="1" x14ac:dyDescent="0.25">
      <c r="A262">
        <f t="shared" si="13"/>
        <v>4.8399999999999848</v>
      </c>
      <c r="B262" s="2">
        <f t="shared" si="12"/>
        <v>0</v>
      </c>
      <c r="C262" s="2">
        <f t="shared" si="14"/>
        <v>0</v>
      </c>
      <c r="D262" s="2">
        <f t="shared" si="15"/>
        <v>67.050000000000011</v>
      </c>
    </row>
    <row r="263" spans="1:4" s="2" customFormat="1" x14ac:dyDescent="0.25">
      <c r="A263">
        <f t="shared" si="13"/>
        <v>4.8599999999999843</v>
      </c>
      <c r="B263" s="2">
        <f t="shared" si="12"/>
        <v>0</v>
      </c>
      <c r="C263" s="2">
        <f t="shared" si="14"/>
        <v>0</v>
      </c>
      <c r="D263" s="2">
        <f t="shared" si="15"/>
        <v>67.050000000000011</v>
      </c>
    </row>
    <row r="264" spans="1:4" s="2" customFormat="1" x14ac:dyDescent="0.25">
      <c r="A264">
        <f t="shared" si="13"/>
        <v>4.8799999999999839</v>
      </c>
      <c r="B264" s="2">
        <f t="shared" si="12"/>
        <v>0</v>
      </c>
      <c r="C264" s="2">
        <f t="shared" si="14"/>
        <v>0</v>
      </c>
      <c r="D264" s="2">
        <f t="shared" si="15"/>
        <v>67.050000000000011</v>
      </c>
    </row>
    <row r="265" spans="1:4" s="2" customFormat="1" x14ac:dyDescent="0.25">
      <c r="A265">
        <f t="shared" si="13"/>
        <v>4.8999999999999835</v>
      </c>
      <c r="B265" s="2">
        <f t="shared" si="12"/>
        <v>0</v>
      </c>
      <c r="C265" s="2">
        <f t="shared" si="14"/>
        <v>0</v>
      </c>
      <c r="D265" s="2">
        <f t="shared" si="15"/>
        <v>67.050000000000011</v>
      </c>
    </row>
    <row r="266" spans="1:4" s="2" customFormat="1" x14ac:dyDescent="0.25">
      <c r="A266">
        <f t="shared" si="13"/>
        <v>4.9199999999999831</v>
      </c>
      <c r="B266" s="2">
        <f t="shared" si="12"/>
        <v>0</v>
      </c>
      <c r="C266" s="2">
        <f t="shared" si="14"/>
        <v>0</v>
      </c>
      <c r="D266" s="2">
        <f t="shared" si="15"/>
        <v>67.050000000000011</v>
      </c>
    </row>
    <row r="267" spans="1:4" s="2" customFormat="1" x14ac:dyDescent="0.25">
      <c r="A267">
        <f t="shared" si="13"/>
        <v>4.9399999999999826</v>
      </c>
      <c r="B267" s="2">
        <f t="shared" si="12"/>
        <v>0</v>
      </c>
      <c r="C267" s="2">
        <f t="shared" si="14"/>
        <v>0</v>
      </c>
      <c r="D267" s="2">
        <f t="shared" si="15"/>
        <v>67.050000000000011</v>
      </c>
    </row>
    <row r="268" spans="1:4" s="2" customFormat="1" x14ac:dyDescent="0.25">
      <c r="A268">
        <f t="shared" si="13"/>
        <v>4.9599999999999822</v>
      </c>
      <c r="B268" s="2">
        <f t="shared" si="12"/>
        <v>0</v>
      </c>
      <c r="C268" s="2">
        <f t="shared" si="14"/>
        <v>0</v>
      </c>
      <c r="D268" s="2">
        <f t="shared" si="15"/>
        <v>67.050000000000011</v>
      </c>
    </row>
    <row r="269" spans="1:4" s="2" customFormat="1" x14ac:dyDescent="0.25">
      <c r="A269">
        <f t="shared" si="13"/>
        <v>4.9799999999999818</v>
      </c>
      <c r="B269" s="2">
        <f t="shared" si="12"/>
        <v>0</v>
      </c>
      <c r="C269" s="2">
        <f t="shared" si="14"/>
        <v>0</v>
      </c>
      <c r="D269" s="2">
        <f t="shared" si="15"/>
        <v>67.050000000000011</v>
      </c>
    </row>
    <row r="270" spans="1:4" s="2" customFormat="1" x14ac:dyDescent="0.25">
      <c r="A270">
        <f t="shared" si="13"/>
        <v>4.9999999999999813</v>
      </c>
      <c r="B270" s="2">
        <f t="shared" si="12"/>
        <v>0</v>
      </c>
      <c r="C270" s="2">
        <f t="shared" si="14"/>
        <v>0</v>
      </c>
      <c r="D270" s="2">
        <f t="shared" si="15"/>
        <v>67.050000000000011</v>
      </c>
    </row>
    <row r="271" spans="1:4" s="2" customFormat="1" x14ac:dyDescent="0.25">
      <c r="A271">
        <f t="shared" si="13"/>
        <v>5.0199999999999809</v>
      </c>
      <c r="B271" s="2">
        <f t="shared" si="12"/>
        <v>0</v>
      </c>
      <c r="C271" s="2">
        <f t="shared" si="14"/>
        <v>0</v>
      </c>
      <c r="D271" s="2">
        <f t="shared" si="15"/>
        <v>67.050000000000011</v>
      </c>
    </row>
    <row r="272" spans="1:4" s="2" customFormat="1" x14ac:dyDescent="0.25">
      <c r="A272">
        <f t="shared" si="13"/>
        <v>5.0399999999999805</v>
      </c>
      <c r="B272" s="2">
        <f t="shared" si="12"/>
        <v>0</v>
      </c>
      <c r="C272" s="2">
        <f t="shared" si="14"/>
        <v>0</v>
      </c>
      <c r="D272" s="2">
        <f t="shared" si="15"/>
        <v>67.050000000000011</v>
      </c>
    </row>
    <row r="273" spans="1:4" s="2" customFormat="1" x14ac:dyDescent="0.25">
      <c r="A273">
        <f t="shared" si="13"/>
        <v>5.0599999999999801</v>
      </c>
      <c r="B273" s="2">
        <f t="shared" si="12"/>
        <v>0</v>
      </c>
      <c r="C273" s="2">
        <f t="shared" si="14"/>
        <v>0</v>
      </c>
      <c r="D273" s="2">
        <f t="shared" si="15"/>
        <v>67.050000000000011</v>
      </c>
    </row>
    <row r="274" spans="1:4" s="2" customFormat="1" x14ac:dyDescent="0.25">
      <c r="A274">
        <f t="shared" si="13"/>
        <v>5.0799999999999796</v>
      </c>
      <c r="B274" s="2">
        <f t="shared" si="12"/>
        <v>0</v>
      </c>
      <c r="C274" s="2">
        <f t="shared" si="14"/>
        <v>0</v>
      </c>
      <c r="D274" s="2">
        <f t="shared" si="15"/>
        <v>67.050000000000011</v>
      </c>
    </row>
    <row r="275" spans="1:4" s="2" customFormat="1" x14ac:dyDescent="0.25">
      <c r="A275">
        <f t="shared" si="13"/>
        <v>5.0999999999999792</v>
      </c>
      <c r="B275" s="2">
        <f t="shared" si="12"/>
        <v>0</v>
      </c>
      <c r="C275" s="2">
        <f t="shared" si="14"/>
        <v>0</v>
      </c>
      <c r="D275" s="2">
        <f t="shared" si="15"/>
        <v>67.050000000000011</v>
      </c>
    </row>
    <row r="276" spans="1:4" s="2" customFormat="1" x14ac:dyDescent="0.25">
      <c r="A276">
        <f t="shared" si="13"/>
        <v>5.1199999999999788</v>
      </c>
      <c r="B276" s="2">
        <f t="shared" si="12"/>
        <v>0</v>
      </c>
      <c r="C276" s="2">
        <f t="shared" si="14"/>
        <v>0</v>
      </c>
      <c r="D276" s="2">
        <f t="shared" si="15"/>
        <v>67.050000000000011</v>
      </c>
    </row>
    <row r="277" spans="1:4" s="2" customFormat="1" x14ac:dyDescent="0.25">
      <c r="A277">
        <f t="shared" si="13"/>
        <v>5.1399999999999784</v>
      </c>
      <c r="B277" s="2">
        <f t="shared" ref="B277:B340" si="16">MAX(0,IF(A277&lt;$B$14,B276+$B$8,IF(AND(A277&gt;=$B$14,A277&lt;=$B$15),$B$11/$B$2,B276-$B$8)))</f>
        <v>0</v>
      </c>
      <c r="C277" s="2">
        <f t="shared" si="14"/>
        <v>0</v>
      </c>
      <c r="D277" s="2">
        <f t="shared" si="15"/>
        <v>67.050000000000011</v>
      </c>
    </row>
    <row r="278" spans="1:4" s="2" customFormat="1" x14ac:dyDescent="0.25">
      <c r="A278">
        <f t="shared" ref="A278:A341" si="17">A277+$B$1</f>
        <v>5.1599999999999779</v>
      </c>
      <c r="B278" s="2">
        <f t="shared" si="16"/>
        <v>0</v>
      </c>
      <c r="C278" s="2">
        <f t="shared" ref="C278:C341" si="18">B278*$B$2</f>
        <v>0</v>
      </c>
      <c r="D278" s="2">
        <f t="shared" ref="D278:D341" si="19">D277+C277*$B$1</f>
        <v>67.050000000000011</v>
      </c>
    </row>
    <row r="279" spans="1:4" s="2" customFormat="1" x14ac:dyDescent="0.25">
      <c r="A279">
        <f t="shared" si="17"/>
        <v>5.1799999999999775</v>
      </c>
      <c r="B279" s="2">
        <f t="shared" si="16"/>
        <v>0</v>
      </c>
      <c r="C279" s="2">
        <f t="shared" si="18"/>
        <v>0</v>
      </c>
      <c r="D279" s="2">
        <f t="shared" si="19"/>
        <v>67.050000000000011</v>
      </c>
    </row>
    <row r="280" spans="1:4" s="2" customFormat="1" x14ac:dyDescent="0.25">
      <c r="A280">
        <f t="shared" si="17"/>
        <v>5.1999999999999771</v>
      </c>
      <c r="B280" s="2">
        <f t="shared" si="16"/>
        <v>0</v>
      </c>
      <c r="C280" s="2">
        <f t="shared" si="18"/>
        <v>0</v>
      </c>
      <c r="D280" s="2">
        <f t="shared" si="19"/>
        <v>67.050000000000011</v>
      </c>
    </row>
    <row r="281" spans="1:4" s="2" customFormat="1" x14ac:dyDescent="0.25">
      <c r="A281">
        <f t="shared" si="17"/>
        <v>5.2199999999999767</v>
      </c>
      <c r="B281" s="2">
        <f t="shared" si="16"/>
        <v>0</v>
      </c>
      <c r="C281" s="2">
        <f t="shared" si="18"/>
        <v>0</v>
      </c>
      <c r="D281" s="2">
        <f t="shared" si="19"/>
        <v>67.050000000000011</v>
      </c>
    </row>
    <row r="282" spans="1:4" s="2" customFormat="1" x14ac:dyDescent="0.25">
      <c r="A282">
        <f t="shared" si="17"/>
        <v>5.2399999999999762</v>
      </c>
      <c r="B282" s="2">
        <f t="shared" si="16"/>
        <v>0</v>
      </c>
      <c r="C282" s="2">
        <f t="shared" si="18"/>
        <v>0</v>
      </c>
      <c r="D282" s="2">
        <f t="shared" si="19"/>
        <v>67.050000000000011</v>
      </c>
    </row>
    <row r="283" spans="1:4" s="2" customFormat="1" x14ac:dyDescent="0.25">
      <c r="A283">
        <f t="shared" si="17"/>
        <v>5.2599999999999758</v>
      </c>
      <c r="B283" s="2">
        <f t="shared" si="16"/>
        <v>0</v>
      </c>
      <c r="C283" s="2">
        <f t="shared" si="18"/>
        <v>0</v>
      </c>
      <c r="D283" s="2">
        <f t="shared" si="19"/>
        <v>67.050000000000011</v>
      </c>
    </row>
    <row r="284" spans="1:4" s="2" customFormat="1" x14ac:dyDescent="0.25">
      <c r="A284">
        <f t="shared" si="17"/>
        <v>5.2799999999999754</v>
      </c>
      <c r="B284" s="2">
        <f t="shared" si="16"/>
        <v>0</v>
      </c>
      <c r="C284" s="2">
        <f t="shared" si="18"/>
        <v>0</v>
      </c>
      <c r="D284" s="2">
        <f t="shared" si="19"/>
        <v>67.050000000000011</v>
      </c>
    </row>
    <row r="285" spans="1:4" s="2" customFormat="1" x14ac:dyDescent="0.25">
      <c r="A285">
        <f t="shared" si="17"/>
        <v>5.299999999999975</v>
      </c>
      <c r="B285" s="2">
        <f t="shared" si="16"/>
        <v>0</v>
      </c>
      <c r="C285" s="2">
        <f t="shared" si="18"/>
        <v>0</v>
      </c>
      <c r="D285" s="2">
        <f t="shared" si="19"/>
        <v>67.050000000000011</v>
      </c>
    </row>
    <row r="286" spans="1:4" s="2" customFormat="1" x14ac:dyDescent="0.25">
      <c r="A286">
        <f t="shared" si="17"/>
        <v>5.3199999999999745</v>
      </c>
      <c r="B286" s="2">
        <f t="shared" si="16"/>
        <v>0</v>
      </c>
      <c r="C286" s="2">
        <f t="shared" si="18"/>
        <v>0</v>
      </c>
      <c r="D286" s="2">
        <f t="shared" si="19"/>
        <v>67.050000000000011</v>
      </c>
    </row>
    <row r="287" spans="1:4" s="2" customFormat="1" x14ac:dyDescent="0.25">
      <c r="A287">
        <f t="shared" si="17"/>
        <v>5.3399999999999741</v>
      </c>
      <c r="B287" s="2">
        <f t="shared" si="16"/>
        <v>0</v>
      </c>
      <c r="C287" s="2">
        <f t="shared" si="18"/>
        <v>0</v>
      </c>
      <c r="D287" s="2">
        <f t="shared" si="19"/>
        <v>67.050000000000011</v>
      </c>
    </row>
    <row r="288" spans="1:4" s="2" customFormat="1" x14ac:dyDescent="0.25">
      <c r="A288">
        <f t="shared" si="17"/>
        <v>5.3599999999999737</v>
      </c>
      <c r="B288" s="2">
        <f t="shared" si="16"/>
        <v>0</v>
      </c>
      <c r="C288" s="2">
        <f t="shared" si="18"/>
        <v>0</v>
      </c>
      <c r="D288" s="2">
        <f t="shared" si="19"/>
        <v>67.050000000000011</v>
      </c>
    </row>
    <row r="289" spans="1:4" s="2" customFormat="1" x14ac:dyDescent="0.25">
      <c r="A289">
        <f t="shared" si="17"/>
        <v>5.3799999999999732</v>
      </c>
      <c r="B289" s="2">
        <f t="shared" si="16"/>
        <v>0</v>
      </c>
      <c r="C289" s="2">
        <f t="shared" si="18"/>
        <v>0</v>
      </c>
      <c r="D289" s="2">
        <f t="shared" si="19"/>
        <v>67.050000000000011</v>
      </c>
    </row>
    <row r="290" spans="1:4" s="2" customFormat="1" x14ac:dyDescent="0.25">
      <c r="A290">
        <f t="shared" si="17"/>
        <v>5.3999999999999728</v>
      </c>
      <c r="B290" s="2">
        <f t="shared" si="16"/>
        <v>0</v>
      </c>
      <c r="C290" s="2">
        <f t="shared" si="18"/>
        <v>0</v>
      </c>
      <c r="D290" s="2">
        <f t="shared" si="19"/>
        <v>67.050000000000011</v>
      </c>
    </row>
    <row r="291" spans="1:4" s="2" customFormat="1" x14ac:dyDescent="0.25">
      <c r="A291">
        <f t="shared" si="17"/>
        <v>5.4199999999999724</v>
      </c>
      <c r="B291" s="2">
        <f t="shared" si="16"/>
        <v>0</v>
      </c>
      <c r="C291" s="2">
        <f t="shared" si="18"/>
        <v>0</v>
      </c>
      <c r="D291" s="2">
        <f t="shared" si="19"/>
        <v>67.050000000000011</v>
      </c>
    </row>
    <row r="292" spans="1:4" s="2" customFormat="1" x14ac:dyDescent="0.25">
      <c r="A292">
        <f t="shared" si="17"/>
        <v>5.439999999999972</v>
      </c>
      <c r="B292" s="2">
        <f t="shared" si="16"/>
        <v>0</v>
      </c>
      <c r="C292" s="2">
        <f t="shared" si="18"/>
        <v>0</v>
      </c>
      <c r="D292" s="2">
        <f t="shared" si="19"/>
        <v>67.050000000000011</v>
      </c>
    </row>
    <row r="293" spans="1:4" s="2" customFormat="1" x14ac:dyDescent="0.25">
      <c r="A293">
        <f t="shared" si="17"/>
        <v>5.4599999999999715</v>
      </c>
      <c r="B293" s="2">
        <f t="shared" si="16"/>
        <v>0</v>
      </c>
      <c r="C293" s="2">
        <f t="shared" si="18"/>
        <v>0</v>
      </c>
      <c r="D293" s="2">
        <f t="shared" si="19"/>
        <v>67.050000000000011</v>
      </c>
    </row>
    <row r="294" spans="1:4" s="2" customFormat="1" x14ac:dyDescent="0.25">
      <c r="A294">
        <f t="shared" si="17"/>
        <v>5.4799999999999711</v>
      </c>
      <c r="B294" s="2">
        <f t="shared" si="16"/>
        <v>0</v>
      </c>
      <c r="C294" s="2">
        <f t="shared" si="18"/>
        <v>0</v>
      </c>
      <c r="D294" s="2">
        <f t="shared" si="19"/>
        <v>67.050000000000011</v>
      </c>
    </row>
    <row r="295" spans="1:4" s="2" customFormat="1" x14ac:dyDescent="0.25">
      <c r="A295">
        <f t="shared" si="17"/>
        <v>5.4999999999999707</v>
      </c>
      <c r="B295" s="2">
        <f t="shared" si="16"/>
        <v>0</v>
      </c>
      <c r="C295" s="2">
        <f t="shared" si="18"/>
        <v>0</v>
      </c>
      <c r="D295" s="2">
        <f t="shared" si="19"/>
        <v>67.050000000000011</v>
      </c>
    </row>
    <row r="296" spans="1:4" s="2" customFormat="1" x14ac:dyDescent="0.25">
      <c r="A296">
        <f t="shared" si="17"/>
        <v>5.5199999999999703</v>
      </c>
      <c r="B296" s="2">
        <f t="shared" si="16"/>
        <v>0</v>
      </c>
      <c r="C296" s="2">
        <f t="shared" si="18"/>
        <v>0</v>
      </c>
      <c r="D296" s="2">
        <f t="shared" si="19"/>
        <v>67.050000000000011</v>
      </c>
    </row>
    <row r="297" spans="1:4" s="2" customFormat="1" x14ac:dyDescent="0.25">
      <c r="A297">
        <f t="shared" si="17"/>
        <v>5.5399999999999698</v>
      </c>
      <c r="B297" s="2">
        <f t="shared" si="16"/>
        <v>0</v>
      </c>
      <c r="C297" s="2">
        <f t="shared" si="18"/>
        <v>0</v>
      </c>
      <c r="D297" s="2">
        <f t="shared" si="19"/>
        <v>67.050000000000011</v>
      </c>
    </row>
    <row r="298" spans="1:4" s="2" customFormat="1" x14ac:dyDescent="0.25">
      <c r="A298">
        <f t="shared" si="17"/>
        <v>5.5599999999999694</v>
      </c>
      <c r="B298" s="2">
        <f t="shared" si="16"/>
        <v>0</v>
      </c>
      <c r="C298" s="2">
        <f t="shared" si="18"/>
        <v>0</v>
      </c>
      <c r="D298" s="2">
        <f t="shared" si="19"/>
        <v>67.050000000000011</v>
      </c>
    </row>
    <row r="299" spans="1:4" s="2" customFormat="1" x14ac:dyDescent="0.25">
      <c r="A299">
        <f t="shared" si="17"/>
        <v>5.579999999999969</v>
      </c>
      <c r="B299" s="2">
        <f t="shared" si="16"/>
        <v>0</v>
      </c>
      <c r="C299" s="2">
        <f t="shared" si="18"/>
        <v>0</v>
      </c>
      <c r="D299" s="2">
        <f t="shared" si="19"/>
        <v>67.050000000000011</v>
      </c>
    </row>
    <row r="300" spans="1:4" s="2" customFormat="1" x14ac:dyDescent="0.25">
      <c r="A300">
        <f t="shared" si="17"/>
        <v>5.5999999999999686</v>
      </c>
      <c r="B300" s="2">
        <f t="shared" si="16"/>
        <v>0</v>
      </c>
      <c r="C300" s="2">
        <f t="shared" si="18"/>
        <v>0</v>
      </c>
      <c r="D300" s="2">
        <f t="shared" si="19"/>
        <v>67.050000000000011</v>
      </c>
    </row>
    <row r="301" spans="1:4" s="2" customFormat="1" x14ac:dyDescent="0.25">
      <c r="A301">
        <f t="shared" si="17"/>
        <v>5.6199999999999681</v>
      </c>
      <c r="B301" s="2">
        <f t="shared" si="16"/>
        <v>0</v>
      </c>
      <c r="C301" s="2">
        <f t="shared" si="18"/>
        <v>0</v>
      </c>
      <c r="D301" s="2">
        <f t="shared" si="19"/>
        <v>67.050000000000011</v>
      </c>
    </row>
    <row r="302" spans="1:4" s="2" customFormat="1" x14ac:dyDescent="0.25">
      <c r="A302">
        <f t="shared" si="17"/>
        <v>5.6399999999999677</v>
      </c>
      <c r="B302" s="2">
        <f t="shared" si="16"/>
        <v>0</v>
      </c>
      <c r="C302" s="2">
        <f t="shared" si="18"/>
        <v>0</v>
      </c>
      <c r="D302" s="2">
        <f t="shared" si="19"/>
        <v>67.050000000000011</v>
      </c>
    </row>
    <row r="303" spans="1:4" s="2" customFormat="1" x14ac:dyDescent="0.25">
      <c r="A303">
        <f t="shared" si="17"/>
        <v>5.6599999999999673</v>
      </c>
      <c r="B303" s="2">
        <f t="shared" si="16"/>
        <v>0</v>
      </c>
      <c r="C303" s="2">
        <f t="shared" si="18"/>
        <v>0</v>
      </c>
      <c r="D303" s="2">
        <f t="shared" si="19"/>
        <v>67.050000000000011</v>
      </c>
    </row>
    <row r="304" spans="1:4" s="2" customFormat="1" x14ac:dyDescent="0.25">
      <c r="A304">
        <f t="shared" si="17"/>
        <v>5.6799999999999669</v>
      </c>
      <c r="B304" s="2">
        <f t="shared" si="16"/>
        <v>0</v>
      </c>
      <c r="C304" s="2">
        <f t="shared" si="18"/>
        <v>0</v>
      </c>
      <c r="D304" s="2">
        <f t="shared" si="19"/>
        <v>67.050000000000011</v>
      </c>
    </row>
    <row r="305" spans="1:4" s="2" customFormat="1" x14ac:dyDescent="0.25">
      <c r="A305">
        <f t="shared" si="17"/>
        <v>5.6999999999999664</v>
      </c>
      <c r="B305" s="2">
        <f t="shared" si="16"/>
        <v>0</v>
      </c>
      <c r="C305" s="2">
        <f t="shared" si="18"/>
        <v>0</v>
      </c>
      <c r="D305" s="2">
        <f t="shared" si="19"/>
        <v>67.050000000000011</v>
      </c>
    </row>
    <row r="306" spans="1:4" s="2" customFormat="1" x14ac:dyDescent="0.25">
      <c r="A306">
        <f t="shared" si="17"/>
        <v>5.719999999999966</v>
      </c>
      <c r="B306" s="2">
        <f t="shared" si="16"/>
        <v>0</v>
      </c>
      <c r="C306" s="2">
        <f t="shared" si="18"/>
        <v>0</v>
      </c>
      <c r="D306" s="2">
        <f t="shared" si="19"/>
        <v>67.050000000000011</v>
      </c>
    </row>
    <row r="307" spans="1:4" s="2" customFormat="1" x14ac:dyDescent="0.25">
      <c r="A307">
        <f t="shared" si="17"/>
        <v>5.7399999999999656</v>
      </c>
      <c r="B307" s="2">
        <f t="shared" si="16"/>
        <v>0</v>
      </c>
      <c r="C307" s="2">
        <f t="shared" si="18"/>
        <v>0</v>
      </c>
      <c r="D307" s="2">
        <f t="shared" si="19"/>
        <v>67.050000000000011</v>
      </c>
    </row>
    <row r="308" spans="1:4" s="2" customFormat="1" x14ac:dyDescent="0.25">
      <c r="A308">
        <f t="shared" si="17"/>
        <v>5.7599999999999651</v>
      </c>
      <c r="B308" s="2">
        <f t="shared" si="16"/>
        <v>0</v>
      </c>
      <c r="C308" s="2">
        <f t="shared" si="18"/>
        <v>0</v>
      </c>
      <c r="D308" s="2">
        <f t="shared" si="19"/>
        <v>67.050000000000011</v>
      </c>
    </row>
    <row r="309" spans="1:4" s="2" customFormat="1" x14ac:dyDescent="0.25">
      <c r="A309">
        <f t="shared" si="17"/>
        <v>5.7799999999999647</v>
      </c>
      <c r="B309" s="2">
        <f t="shared" si="16"/>
        <v>0</v>
      </c>
      <c r="C309" s="2">
        <f t="shared" si="18"/>
        <v>0</v>
      </c>
      <c r="D309" s="2">
        <f t="shared" si="19"/>
        <v>67.050000000000011</v>
      </c>
    </row>
    <row r="310" spans="1:4" s="2" customFormat="1" x14ac:dyDescent="0.25">
      <c r="A310">
        <f t="shared" si="17"/>
        <v>5.7999999999999643</v>
      </c>
      <c r="B310" s="2">
        <f t="shared" si="16"/>
        <v>0</v>
      </c>
      <c r="C310" s="2">
        <f t="shared" si="18"/>
        <v>0</v>
      </c>
      <c r="D310" s="2">
        <f t="shared" si="19"/>
        <v>67.050000000000011</v>
      </c>
    </row>
    <row r="311" spans="1:4" s="2" customFormat="1" x14ac:dyDescent="0.25">
      <c r="A311">
        <f t="shared" si="17"/>
        <v>5.8199999999999639</v>
      </c>
      <c r="B311" s="2">
        <f t="shared" si="16"/>
        <v>0</v>
      </c>
      <c r="C311" s="2">
        <f t="shared" si="18"/>
        <v>0</v>
      </c>
      <c r="D311" s="2">
        <f t="shared" si="19"/>
        <v>67.050000000000011</v>
      </c>
    </row>
    <row r="312" spans="1:4" s="2" customFormat="1" x14ac:dyDescent="0.25">
      <c r="A312">
        <f t="shared" si="17"/>
        <v>5.8399999999999634</v>
      </c>
      <c r="B312" s="2">
        <f t="shared" si="16"/>
        <v>0</v>
      </c>
      <c r="C312" s="2">
        <f t="shared" si="18"/>
        <v>0</v>
      </c>
      <c r="D312" s="2">
        <f t="shared" si="19"/>
        <v>67.050000000000011</v>
      </c>
    </row>
    <row r="313" spans="1:4" s="2" customFormat="1" x14ac:dyDescent="0.25">
      <c r="A313">
        <f t="shared" si="17"/>
        <v>5.859999999999963</v>
      </c>
      <c r="B313" s="2">
        <f t="shared" si="16"/>
        <v>0</v>
      </c>
      <c r="C313" s="2">
        <f t="shared" si="18"/>
        <v>0</v>
      </c>
      <c r="D313" s="2">
        <f t="shared" si="19"/>
        <v>67.050000000000011</v>
      </c>
    </row>
    <row r="314" spans="1:4" s="2" customFormat="1" x14ac:dyDescent="0.25">
      <c r="A314">
        <f t="shared" si="17"/>
        <v>5.8799999999999626</v>
      </c>
      <c r="B314" s="2">
        <f t="shared" si="16"/>
        <v>0</v>
      </c>
      <c r="C314" s="2">
        <f t="shared" si="18"/>
        <v>0</v>
      </c>
      <c r="D314" s="2">
        <f t="shared" si="19"/>
        <v>67.050000000000011</v>
      </c>
    </row>
    <row r="315" spans="1:4" s="2" customFormat="1" x14ac:dyDescent="0.25">
      <c r="A315">
        <f t="shared" si="17"/>
        <v>5.8999999999999622</v>
      </c>
      <c r="B315" s="2">
        <f t="shared" si="16"/>
        <v>0</v>
      </c>
      <c r="C315" s="2">
        <f t="shared" si="18"/>
        <v>0</v>
      </c>
      <c r="D315" s="2">
        <f t="shared" si="19"/>
        <v>67.050000000000011</v>
      </c>
    </row>
    <row r="316" spans="1:4" s="2" customFormat="1" x14ac:dyDescent="0.25">
      <c r="A316">
        <f t="shared" si="17"/>
        <v>5.9199999999999617</v>
      </c>
      <c r="B316" s="2">
        <f t="shared" si="16"/>
        <v>0</v>
      </c>
      <c r="C316" s="2">
        <f t="shared" si="18"/>
        <v>0</v>
      </c>
      <c r="D316" s="2">
        <f t="shared" si="19"/>
        <v>67.050000000000011</v>
      </c>
    </row>
    <row r="317" spans="1:4" s="2" customFormat="1" x14ac:dyDescent="0.25">
      <c r="A317">
        <f t="shared" si="17"/>
        <v>5.9399999999999613</v>
      </c>
      <c r="B317" s="2">
        <f t="shared" si="16"/>
        <v>0</v>
      </c>
      <c r="C317" s="2">
        <f t="shared" si="18"/>
        <v>0</v>
      </c>
      <c r="D317" s="2">
        <f t="shared" si="19"/>
        <v>67.050000000000011</v>
      </c>
    </row>
    <row r="318" spans="1:4" s="2" customFormat="1" x14ac:dyDescent="0.25">
      <c r="A318">
        <f t="shared" si="17"/>
        <v>5.9599999999999609</v>
      </c>
      <c r="B318" s="2">
        <f t="shared" si="16"/>
        <v>0</v>
      </c>
      <c r="C318" s="2">
        <f t="shared" si="18"/>
        <v>0</v>
      </c>
      <c r="D318" s="2">
        <f t="shared" si="19"/>
        <v>67.050000000000011</v>
      </c>
    </row>
    <row r="319" spans="1:4" s="2" customFormat="1" x14ac:dyDescent="0.25">
      <c r="A319">
        <f t="shared" si="17"/>
        <v>5.9799999999999605</v>
      </c>
      <c r="B319" s="2">
        <f t="shared" si="16"/>
        <v>0</v>
      </c>
      <c r="C319" s="2">
        <f t="shared" si="18"/>
        <v>0</v>
      </c>
      <c r="D319" s="2">
        <f t="shared" si="19"/>
        <v>67.050000000000011</v>
      </c>
    </row>
    <row r="320" spans="1:4" s="2" customFormat="1" x14ac:dyDescent="0.25">
      <c r="A320">
        <f t="shared" si="17"/>
        <v>5.99999999999996</v>
      </c>
      <c r="B320" s="2">
        <f t="shared" si="16"/>
        <v>0</v>
      </c>
      <c r="C320" s="2">
        <f t="shared" si="18"/>
        <v>0</v>
      </c>
      <c r="D320" s="2">
        <f t="shared" si="19"/>
        <v>67.050000000000011</v>
      </c>
    </row>
    <row r="321" spans="1:4" s="2" customFormat="1" x14ac:dyDescent="0.25">
      <c r="A321">
        <f t="shared" si="17"/>
        <v>6.0199999999999596</v>
      </c>
      <c r="B321" s="2">
        <f t="shared" si="16"/>
        <v>0</v>
      </c>
      <c r="C321" s="2">
        <f t="shared" si="18"/>
        <v>0</v>
      </c>
      <c r="D321" s="2">
        <f t="shared" si="19"/>
        <v>67.050000000000011</v>
      </c>
    </row>
    <row r="322" spans="1:4" s="2" customFormat="1" x14ac:dyDescent="0.25">
      <c r="A322">
        <f t="shared" si="17"/>
        <v>6.0399999999999592</v>
      </c>
      <c r="B322" s="2">
        <f t="shared" si="16"/>
        <v>0</v>
      </c>
      <c r="C322" s="2">
        <f t="shared" si="18"/>
        <v>0</v>
      </c>
      <c r="D322" s="2">
        <f t="shared" si="19"/>
        <v>67.050000000000011</v>
      </c>
    </row>
    <row r="323" spans="1:4" s="2" customFormat="1" x14ac:dyDescent="0.25">
      <c r="A323">
        <f t="shared" si="17"/>
        <v>6.0599999999999588</v>
      </c>
      <c r="B323" s="2">
        <f t="shared" si="16"/>
        <v>0</v>
      </c>
      <c r="C323" s="2">
        <f t="shared" si="18"/>
        <v>0</v>
      </c>
      <c r="D323" s="2">
        <f t="shared" si="19"/>
        <v>67.050000000000011</v>
      </c>
    </row>
    <row r="324" spans="1:4" s="2" customFormat="1" x14ac:dyDescent="0.25">
      <c r="A324">
        <f t="shared" si="17"/>
        <v>6.0799999999999583</v>
      </c>
      <c r="B324" s="2">
        <f t="shared" si="16"/>
        <v>0</v>
      </c>
      <c r="C324" s="2">
        <f t="shared" si="18"/>
        <v>0</v>
      </c>
      <c r="D324" s="2">
        <f t="shared" si="19"/>
        <v>67.050000000000011</v>
      </c>
    </row>
    <row r="325" spans="1:4" s="2" customFormat="1" x14ac:dyDescent="0.25">
      <c r="A325">
        <f t="shared" si="17"/>
        <v>6.0999999999999579</v>
      </c>
      <c r="B325" s="2">
        <f t="shared" si="16"/>
        <v>0</v>
      </c>
      <c r="C325" s="2">
        <f t="shared" si="18"/>
        <v>0</v>
      </c>
      <c r="D325" s="2">
        <f t="shared" si="19"/>
        <v>67.050000000000011</v>
      </c>
    </row>
    <row r="326" spans="1:4" s="2" customFormat="1" x14ac:dyDescent="0.25">
      <c r="A326">
        <f t="shared" si="17"/>
        <v>6.1199999999999575</v>
      </c>
      <c r="B326" s="2">
        <f t="shared" si="16"/>
        <v>0</v>
      </c>
      <c r="C326" s="2">
        <f t="shared" si="18"/>
        <v>0</v>
      </c>
      <c r="D326" s="2">
        <f t="shared" si="19"/>
        <v>67.050000000000011</v>
      </c>
    </row>
    <row r="327" spans="1:4" s="2" customFormat="1" x14ac:dyDescent="0.25">
      <c r="A327">
        <f t="shared" si="17"/>
        <v>6.139999999999957</v>
      </c>
      <c r="B327" s="2">
        <f t="shared" si="16"/>
        <v>0</v>
      </c>
      <c r="C327" s="2">
        <f t="shared" si="18"/>
        <v>0</v>
      </c>
      <c r="D327" s="2">
        <f t="shared" si="19"/>
        <v>67.050000000000011</v>
      </c>
    </row>
    <row r="328" spans="1:4" s="2" customFormat="1" x14ac:dyDescent="0.25">
      <c r="A328">
        <f t="shared" si="17"/>
        <v>6.1599999999999566</v>
      </c>
      <c r="B328" s="2">
        <f t="shared" si="16"/>
        <v>0</v>
      </c>
      <c r="C328" s="2">
        <f t="shared" si="18"/>
        <v>0</v>
      </c>
      <c r="D328" s="2">
        <f t="shared" si="19"/>
        <v>67.050000000000011</v>
      </c>
    </row>
    <row r="329" spans="1:4" s="2" customFormat="1" x14ac:dyDescent="0.25">
      <c r="A329">
        <f t="shared" si="17"/>
        <v>6.1799999999999562</v>
      </c>
      <c r="B329" s="2">
        <f t="shared" si="16"/>
        <v>0</v>
      </c>
      <c r="C329" s="2">
        <f t="shared" si="18"/>
        <v>0</v>
      </c>
      <c r="D329" s="2">
        <f t="shared" si="19"/>
        <v>67.050000000000011</v>
      </c>
    </row>
    <row r="330" spans="1:4" s="2" customFormat="1" x14ac:dyDescent="0.25">
      <c r="A330">
        <f t="shared" si="17"/>
        <v>6.1999999999999558</v>
      </c>
      <c r="B330" s="2">
        <f t="shared" si="16"/>
        <v>0</v>
      </c>
      <c r="C330" s="2">
        <f t="shared" si="18"/>
        <v>0</v>
      </c>
      <c r="D330" s="2">
        <f t="shared" si="19"/>
        <v>67.050000000000011</v>
      </c>
    </row>
    <row r="331" spans="1:4" s="2" customFormat="1" x14ac:dyDescent="0.25">
      <c r="A331">
        <f t="shared" si="17"/>
        <v>6.2199999999999553</v>
      </c>
      <c r="B331" s="2">
        <f t="shared" si="16"/>
        <v>0</v>
      </c>
      <c r="C331" s="2">
        <f t="shared" si="18"/>
        <v>0</v>
      </c>
      <c r="D331" s="2">
        <f t="shared" si="19"/>
        <v>67.050000000000011</v>
      </c>
    </row>
    <row r="332" spans="1:4" s="2" customFormat="1" x14ac:dyDescent="0.25">
      <c r="A332">
        <f t="shared" si="17"/>
        <v>6.2399999999999549</v>
      </c>
      <c r="B332" s="2">
        <f t="shared" si="16"/>
        <v>0</v>
      </c>
      <c r="C332" s="2">
        <f t="shared" si="18"/>
        <v>0</v>
      </c>
      <c r="D332" s="2">
        <f t="shared" si="19"/>
        <v>67.050000000000011</v>
      </c>
    </row>
    <row r="333" spans="1:4" s="2" customFormat="1" x14ac:dyDescent="0.25">
      <c r="A333">
        <f t="shared" si="17"/>
        <v>6.2599999999999545</v>
      </c>
      <c r="B333" s="2">
        <f t="shared" si="16"/>
        <v>0</v>
      </c>
      <c r="C333" s="2">
        <f t="shared" si="18"/>
        <v>0</v>
      </c>
      <c r="D333" s="2">
        <f t="shared" si="19"/>
        <v>67.050000000000011</v>
      </c>
    </row>
    <row r="334" spans="1:4" s="2" customFormat="1" x14ac:dyDescent="0.25">
      <c r="A334">
        <f t="shared" si="17"/>
        <v>6.2799999999999541</v>
      </c>
      <c r="B334" s="2">
        <f t="shared" si="16"/>
        <v>0</v>
      </c>
      <c r="C334" s="2">
        <f t="shared" si="18"/>
        <v>0</v>
      </c>
      <c r="D334" s="2">
        <f t="shared" si="19"/>
        <v>67.050000000000011</v>
      </c>
    </row>
    <row r="335" spans="1:4" s="2" customFormat="1" x14ac:dyDescent="0.25">
      <c r="A335">
        <f t="shared" si="17"/>
        <v>6.2999999999999536</v>
      </c>
      <c r="B335" s="2">
        <f t="shared" si="16"/>
        <v>0</v>
      </c>
      <c r="C335" s="2">
        <f t="shared" si="18"/>
        <v>0</v>
      </c>
      <c r="D335" s="2">
        <f t="shared" si="19"/>
        <v>67.050000000000011</v>
      </c>
    </row>
    <row r="336" spans="1:4" s="2" customFormat="1" x14ac:dyDescent="0.25">
      <c r="A336">
        <f t="shared" si="17"/>
        <v>6.3199999999999532</v>
      </c>
      <c r="B336" s="2">
        <f t="shared" si="16"/>
        <v>0</v>
      </c>
      <c r="C336" s="2">
        <f t="shared" si="18"/>
        <v>0</v>
      </c>
      <c r="D336" s="2">
        <f t="shared" si="19"/>
        <v>67.050000000000011</v>
      </c>
    </row>
    <row r="337" spans="1:4" s="2" customFormat="1" x14ac:dyDescent="0.25">
      <c r="A337">
        <f t="shared" si="17"/>
        <v>6.3399999999999528</v>
      </c>
      <c r="B337" s="2">
        <f t="shared" si="16"/>
        <v>0</v>
      </c>
      <c r="C337" s="2">
        <f t="shared" si="18"/>
        <v>0</v>
      </c>
      <c r="D337" s="2">
        <f t="shared" si="19"/>
        <v>67.050000000000011</v>
      </c>
    </row>
    <row r="338" spans="1:4" s="2" customFormat="1" x14ac:dyDescent="0.25">
      <c r="A338">
        <f t="shared" si="17"/>
        <v>6.3599999999999524</v>
      </c>
      <c r="B338" s="2">
        <f t="shared" si="16"/>
        <v>0</v>
      </c>
      <c r="C338" s="2">
        <f t="shared" si="18"/>
        <v>0</v>
      </c>
      <c r="D338" s="2">
        <f t="shared" si="19"/>
        <v>67.050000000000011</v>
      </c>
    </row>
    <row r="339" spans="1:4" s="2" customFormat="1" x14ac:dyDescent="0.25">
      <c r="A339">
        <f t="shared" si="17"/>
        <v>6.3799999999999519</v>
      </c>
      <c r="B339" s="2">
        <f t="shared" si="16"/>
        <v>0</v>
      </c>
      <c r="C339" s="2">
        <f t="shared" si="18"/>
        <v>0</v>
      </c>
      <c r="D339" s="2">
        <f t="shared" si="19"/>
        <v>67.050000000000011</v>
      </c>
    </row>
    <row r="340" spans="1:4" s="2" customFormat="1" x14ac:dyDescent="0.25">
      <c r="A340">
        <f t="shared" si="17"/>
        <v>6.3999999999999515</v>
      </c>
      <c r="B340" s="2">
        <f t="shared" si="16"/>
        <v>0</v>
      </c>
      <c r="C340" s="2">
        <f t="shared" si="18"/>
        <v>0</v>
      </c>
      <c r="D340" s="2">
        <f t="shared" si="19"/>
        <v>67.050000000000011</v>
      </c>
    </row>
    <row r="341" spans="1:4" s="2" customFormat="1" x14ac:dyDescent="0.25">
      <c r="A341">
        <f t="shared" si="17"/>
        <v>6.4199999999999511</v>
      </c>
      <c r="B341" s="2">
        <f t="shared" ref="B341:B404" si="20">MAX(0,IF(A341&lt;$B$14,B340+$B$8,IF(AND(A341&gt;=$B$14,A341&lt;=$B$15),$B$11/$B$2,B340-$B$8)))</f>
        <v>0</v>
      </c>
      <c r="C341" s="2">
        <f t="shared" si="18"/>
        <v>0</v>
      </c>
      <c r="D341" s="2">
        <f t="shared" si="19"/>
        <v>67.050000000000011</v>
      </c>
    </row>
    <row r="342" spans="1:4" s="2" customFormat="1" x14ac:dyDescent="0.25">
      <c r="A342">
        <f t="shared" ref="A342:A405" si="21">A341+$B$1</f>
        <v>6.4399999999999507</v>
      </c>
      <c r="B342" s="2">
        <f t="shared" si="20"/>
        <v>0</v>
      </c>
      <c r="C342" s="2">
        <f t="shared" ref="C342:C405" si="22">B342*$B$2</f>
        <v>0</v>
      </c>
      <c r="D342" s="2">
        <f t="shared" ref="D342:D405" si="23">D341+C341*$B$1</f>
        <v>67.050000000000011</v>
      </c>
    </row>
    <row r="343" spans="1:4" s="2" customFormat="1" x14ac:dyDescent="0.25">
      <c r="A343">
        <f t="shared" si="21"/>
        <v>6.4599999999999502</v>
      </c>
      <c r="B343" s="2">
        <f t="shared" si="20"/>
        <v>0</v>
      </c>
      <c r="C343" s="2">
        <f t="shared" si="22"/>
        <v>0</v>
      </c>
      <c r="D343" s="2">
        <f t="shared" si="23"/>
        <v>67.050000000000011</v>
      </c>
    </row>
    <row r="344" spans="1:4" s="2" customFormat="1" x14ac:dyDescent="0.25">
      <c r="A344">
        <f t="shared" si="21"/>
        <v>6.4799999999999498</v>
      </c>
      <c r="B344" s="2">
        <f t="shared" si="20"/>
        <v>0</v>
      </c>
      <c r="C344" s="2">
        <f t="shared" si="22"/>
        <v>0</v>
      </c>
      <c r="D344" s="2">
        <f t="shared" si="23"/>
        <v>67.050000000000011</v>
      </c>
    </row>
    <row r="345" spans="1:4" s="2" customFormat="1" x14ac:dyDescent="0.25">
      <c r="A345">
        <f t="shared" si="21"/>
        <v>6.4999999999999494</v>
      </c>
      <c r="B345" s="2">
        <f t="shared" si="20"/>
        <v>0</v>
      </c>
      <c r="C345" s="2">
        <f t="shared" si="22"/>
        <v>0</v>
      </c>
      <c r="D345" s="2">
        <f t="shared" si="23"/>
        <v>67.050000000000011</v>
      </c>
    </row>
    <row r="346" spans="1:4" s="2" customFormat="1" x14ac:dyDescent="0.25">
      <c r="A346">
        <f t="shared" si="21"/>
        <v>6.5199999999999489</v>
      </c>
      <c r="B346" s="2">
        <f t="shared" si="20"/>
        <v>0</v>
      </c>
      <c r="C346" s="2">
        <f t="shared" si="22"/>
        <v>0</v>
      </c>
      <c r="D346" s="2">
        <f t="shared" si="23"/>
        <v>67.050000000000011</v>
      </c>
    </row>
    <row r="347" spans="1:4" s="2" customFormat="1" x14ac:dyDescent="0.25">
      <c r="A347">
        <f t="shared" si="21"/>
        <v>6.5399999999999485</v>
      </c>
      <c r="B347" s="2">
        <f t="shared" si="20"/>
        <v>0</v>
      </c>
      <c r="C347" s="2">
        <f t="shared" si="22"/>
        <v>0</v>
      </c>
      <c r="D347" s="2">
        <f t="shared" si="23"/>
        <v>67.050000000000011</v>
      </c>
    </row>
    <row r="348" spans="1:4" s="2" customFormat="1" x14ac:dyDescent="0.25">
      <c r="A348">
        <f t="shared" si="21"/>
        <v>6.5599999999999481</v>
      </c>
      <c r="B348" s="2">
        <f t="shared" si="20"/>
        <v>0</v>
      </c>
      <c r="C348" s="2">
        <f t="shared" si="22"/>
        <v>0</v>
      </c>
      <c r="D348" s="2">
        <f t="shared" si="23"/>
        <v>67.050000000000011</v>
      </c>
    </row>
    <row r="349" spans="1:4" s="2" customFormat="1" x14ac:dyDescent="0.25">
      <c r="A349">
        <f t="shared" si="21"/>
        <v>6.5799999999999477</v>
      </c>
      <c r="B349" s="2">
        <f t="shared" si="20"/>
        <v>0</v>
      </c>
      <c r="C349" s="2">
        <f t="shared" si="22"/>
        <v>0</v>
      </c>
      <c r="D349" s="2">
        <f t="shared" si="23"/>
        <v>67.050000000000011</v>
      </c>
    </row>
    <row r="350" spans="1:4" s="2" customFormat="1" x14ac:dyDescent="0.25">
      <c r="A350">
        <f t="shared" si="21"/>
        <v>6.5999999999999472</v>
      </c>
      <c r="B350" s="2">
        <f t="shared" si="20"/>
        <v>0</v>
      </c>
      <c r="C350" s="2">
        <f t="shared" si="22"/>
        <v>0</v>
      </c>
      <c r="D350" s="2">
        <f t="shared" si="23"/>
        <v>67.050000000000011</v>
      </c>
    </row>
    <row r="351" spans="1:4" s="2" customFormat="1" x14ac:dyDescent="0.25">
      <c r="A351">
        <f t="shared" si="21"/>
        <v>6.6199999999999468</v>
      </c>
      <c r="B351" s="2">
        <f t="shared" si="20"/>
        <v>0</v>
      </c>
      <c r="C351" s="2">
        <f t="shared" si="22"/>
        <v>0</v>
      </c>
      <c r="D351" s="2">
        <f t="shared" si="23"/>
        <v>67.050000000000011</v>
      </c>
    </row>
    <row r="352" spans="1:4" s="2" customFormat="1" x14ac:dyDescent="0.25">
      <c r="A352">
        <f t="shared" si="21"/>
        <v>6.6399999999999464</v>
      </c>
      <c r="B352" s="2">
        <f t="shared" si="20"/>
        <v>0</v>
      </c>
      <c r="C352" s="2">
        <f t="shared" si="22"/>
        <v>0</v>
      </c>
      <c r="D352" s="2">
        <f t="shared" si="23"/>
        <v>67.050000000000011</v>
      </c>
    </row>
    <row r="353" spans="1:4" s="2" customFormat="1" x14ac:dyDescent="0.25">
      <c r="A353">
        <f t="shared" si="21"/>
        <v>6.659999999999946</v>
      </c>
      <c r="B353" s="2">
        <f t="shared" si="20"/>
        <v>0</v>
      </c>
      <c r="C353" s="2">
        <f t="shared" si="22"/>
        <v>0</v>
      </c>
      <c r="D353" s="2">
        <f t="shared" si="23"/>
        <v>67.050000000000011</v>
      </c>
    </row>
    <row r="354" spans="1:4" s="2" customFormat="1" x14ac:dyDescent="0.25">
      <c r="A354">
        <f t="shared" si="21"/>
        <v>6.6799999999999455</v>
      </c>
      <c r="B354" s="2">
        <f t="shared" si="20"/>
        <v>0</v>
      </c>
      <c r="C354" s="2">
        <f t="shared" si="22"/>
        <v>0</v>
      </c>
      <c r="D354" s="2">
        <f t="shared" si="23"/>
        <v>67.050000000000011</v>
      </c>
    </row>
    <row r="355" spans="1:4" s="2" customFormat="1" x14ac:dyDescent="0.25">
      <c r="A355">
        <f t="shared" si="21"/>
        <v>6.6999999999999451</v>
      </c>
      <c r="B355" s="2">
        <f t="shared" si="20"/>
        <v>0</v>
      </c>
      <c r="C355" s="2">
        <f t="shared" si="22"/>
        <v>0</v>
      </c>
      <c r="D355" s="2">
        <f t="shared" si="23"/>
        <v>67.050000000000011</v>
      </c>
    </row>
    <row r="356" spans="1:4" s="2" customFormat="1" x14ac:dyDescent="0.25">
      <c r="A356">
        <f t="shared" si="21"/>
        <v>6.7199999999999447</v>
      </c>
      <c r="B356" s="2">
        <f t="shared" si="20"/>
        <v>0</v>
      </c>
      <c r="C356" s="2">
        <f t="shared" si="22"/>
        <v>0</v>
      </c>
      <c r="D356" s="2">
        <f t="shared" si="23"/>
        <v>67.050000000000011</v>
      </c>
    </row>
    <row r="357" spans="1:4" s="2" customFormat="1" x14ac:dyDescent="0.25">
      <c r="A357">
        <f t="shared" si="21"/>
        <v>6.7399999999999443</v>
      </c>
      <c r="B357" s="2">
        <f t="shared" si="20"/>
        <v>0</v>
      </c>
      <c r="C357" s="2">
        <f t="shared" si="22"/>
        <v>0</v>
      </c>
      <c r="D357" s="2">
        <f t="shared" si="23"/>
        <v>67.050000000000011</v>
      </c>
    </row>
    <row r="358" spans="1:4" s="2" customFormat="1" x14ac:dyDescent="0.25">
      <c r="A358">
        <f t="shared" si="21"/>
        <v>6.7599999999999438</v>
      </c>
      <c r="B358" s="2">
        <f t="shared" si="20"/>
        <v>0</v>
      </c>
      <c r="C358" s="2">
        <f t="shared" si="22"/>
        <v>0</v>
      </c>
      <c r="D358" s="2">
        <f t="shared" si="23"/>
        <v>67.050000000000011</v>
      </c>
    </row>
    <row r="359" spans="1:4" s="2" customFormat="1" x14ac:dyDescent="0.25">
      <c r="A359">
        <f t="shared" si="21"/>
        <v>6.7799999999999434</v>
      </c>
      <c r="B359" s="2">
        <f t="shared" si="20"/>
        <v>0</v>
      </c>
      <c r="C359" s="2">
        <f t="shared" si="22"/>
        <v>0</v>
      </c>
      <c r="D359" s="2">
        <f t="shared" si="23"/>
        <v>67.050000000000011</v>
      </c>
    </row>
    <row r="360" spans="1:4" s="2" customFormat="1" x14ac:dyDescent="0.25">
      <c r="A360">
        <f t="shared" si="21"/>
        <v>6.799999999999943</v>
      </c>
      <c r="B360" s="2">
        <f t="shared" si="20"/>
        <v>0</v>
      </c>
      <c r="C360" s="2">
        <f t="shared" si="22"/>
        <v>0</v>
      </c>
      <c r="D360" s="2">
        <f t="shared" si="23"/>
        <v>67.050000000000011</v>
      </c>
    </row>
    <row r="361" spans="1:4" s="2" customFormat="1" x14ac:dyDescent="0.25">
      <c r="A361">
        <f t="shared" si="21"/>
        <v>6.8199999999999426</v>
      </c>
      <c r="B361" s="2">
        <f t="shared" si="20"/>
        <v>0</v>
      </c>
      <c r="C361" s="2">
        <f t="shared" si="22"/>
        <v>0</v>
      </c>
      <c r="D361" s="2">
        <f t="shared" si="23"/>
        <v>67.050000000000011</v>
      </c>
    </row>
    <row r="362" spans="1:4" s="2" customFormat="1" x14ac:dyDescent="0.25">
      <c r="A362">
        <f t="shared" si="21"/>
        <v>6.8399999999999421</v>
      </c>
      <c r="B362" s="2">
        <f t="shared" si="20"/>
        <v>0</v>
      </c>
      <c r="C362" s="2">
        <f t="shared" si="22"/>
        <v>0</v>
      </c>
      <c r="D362" s="2">
        <f t="shared" si="23"/>
        <v>67.050000000000011</v>
      </c>
    </row>
    <row r="363" spans="1:4" s="2" customFormat="1" x14ac:dyDescent="0.25">
      <c r="A363">
        <f t="shared" si="21"/>
        <v>6.8599999999999417</v>
      </c>
      <c r="B363" s="2">
        <f t="shared" si="20"/>
        <v>0</v>
      </c>
      <c r="C363" s="2">
        <f t="shared" si="22"/>
        <v>0</v>
      </c>
      <c r="D363" s="2">
        <f t="shared" si="23"/>
        <v>67.050000000000011</v>
      </c>
    </row>
    <row r="364" spans="1:4" s="2" customFormat="1" x14ac:dyDescent="0.25">
      <c r="A364">
        <f t="shared" si="21"/>
        <v>6.8799999999999413</v>
      </c>
      <c r="B364" s="2">
        <f t="shared" si="20"/>
        <v>0</v>
      </c>
      <c r="C364" s="2">
        <f t="shared" si="22"/>
        <v>0</v>
      </c>
      <c r="D364" s="2">
        <f t="shared" si="23"/>
        <v>67.050000000000011</v>
      </c>
    </row>
    <row r="365" spans="1:4" s="2" customFormat="1" x14ac:dyDescent="0.25">
      <c r="A365">
        <f t="shared" si="21"/>
        <v>6.8999999999999408</v>
      </c>
      <c r="B365" s="2">
        <f t="shared" si="20"/>
        <v>0</v>
      </c>
      <c r="C365" s="2">
        <f t="shared" si="22"/>
        <v>0</v>
      </c>
      <c r="D365" s="2">
        <f t="shared" si="23"/>
        <v>67.050000000000011</v>
      </c>
    </row>
    <row r="366" spans="1:4" s="2" customFormat="1" x14ac:dyDescent="0.25">
      <c r="A366">
        <f t="shared" si="21"/>
        <v>6.9199999999999404</v>
      </c>
      <c r="B366" s="2">
        <f t="shared" si="20"/>
        <v>0</v>
      </c>
      <c r="C366" s="2">
        <f t="shared" si="22"/>
        <v>0</v>
      </c>
      <c r="D366" s="2">
        <f t="shared" si="23"/>
        <v>67.050000000000011</v>
      </c>
    </row>
    <row r="367" spans="1:4" s="2" customFormat="1" x14ac:dyDescent="0.25">
      <c r="A367">
        <f t="shared" si="21"/>
        <v>6.93999999999994</v>
      </c>
      <c r="B367" s="2">
        <f t="shared" si="20"/>
        <v>0</v>
      </c>
      <c r="C367" s="2">
        <f t="shared" si="22"/>
        <v>0</v>
      </c>
      <c r="D367" s="2">
        <f t="shared" si="23"/>
        <v>67.050000000000011</v>
      </c>
    </row>
    <row r="368" spans="1:4" s="2" customFormat="1" x14ac:dyDescent="0.25">
      <c r="A368">
        <f t="shared" si="21"/>
        <v>6.9599999999999396</v>
      </c>
      <c r="B368" s="2">
        <f t="shared" si="20"/>
        <v>0</v>
      </c>
      <c r="C368" s="2">
        <f t="shared" si="22"/>
        <v>0</v>
      </c>
      <c r="D368" s="2">
        <f t="shared" si="23"/>
        <v>67.050000000000011</v>
      </c>
    </row>
    <row r="369" spans="1:4" s="2" customFormat="1" x14ac:dyDescent="0.25">
      <c r="A369">
        <f t="shared" si="21"/>
        <v>6.9799999999999391</v>
      </c>
      <c r="B369" s="2">
        <f t="shared" si="20"/>
        <v>0</v>
      </c>
      <c r="C369" s="2">
        <f t="shared" si="22"/>
        <v>0</v>
      </c>
      <c r="D369" s="2">
        <f t="shared" si="23"/>
        <v>67.050000000000011</v>
      </c>
    </row>
    <row r="370" spans="1:4" s="2" customFormat="1" x14ac:dyDescent="0.25">
      <c r="A370">
        <f t="shared" si="21"/>
        <v>6.9999999999999387</v>
      </c>
      <c r="B370" s="2">
        <f t="shared" si="20"/>
        <v>0</v>
      </c>
      <c r="C370" s="2">
        <f t="shared" si="22"/>
        <v>0</v>
      </c>
      <c r="D370" s="2">
        <f t="shared" si="23"/>
        <v>67.050000000000011</v>
      </c>
    </row>
    <row r="371" spans="1:4" s="2" customFormat="1" x14ac:dyDescent="0.25">
      <c r="A371">
        <f t="shared" si="21"/>
        <v>7.0199999999999383</v>
      </c>
      <c r="B371" s="2">
        <f t="shared" si="20"/>
        <v>0</v>
      </c>
      <c r="C371" s="2">
        <f t="shared" si="22"/>
        <v>0</v>
      </c>
      <c r="D371" s="2">
        <f t="shared" si="23"/>
        <v>67.050000000000011</v>
      </c>
    </row>
    <row r="372" spans="1:4" s="2" customFormat="1" x14ac:dyDescent="0.25">
      <c r="A372">
        <f t="shared" si="21"/>
        <v>7.0399999999999379</v>
      </c>
      <c r="B372" s="2">
        <f t="shared" si="20"/>
        <v>0</v>
      </c>
      <c r="C372" s="2">
        <f t="shared" si="22"/>
        <v>0</v>
      </c>
      <c r="D372" s="2">
        <f t="shared" si="23"/>
        <v>67.050000000000011</v>
      </c>
    </row>
    <row r="373" spans="1:4" s="2" customFormat="1" x14ac:dyDescent="0.25">
      <c r="A373">
        <f t="shared" si="21"/>
        <v>7.0599999999999374</v>
      </c>
      <c r="B373" s="2">
        <f t="shared" si="20"/>
        <v>0</v>
      </c>
      <c r="C373" s="2">
        <f t="shared" si="22"/>
        <v>0</v>
      </c>
      <c r="D373" s="2">
        <f t="shared" si="23"/>
        <v>67.050000000000011</v>
      </c>
    </row>
    <row r="374" spans="1:4" s="2" customFormat="1" x14ac:dyDescent="0.25">
      <c r="A374">
        <f t="shared" si="21"/>
        <v>7.079999999999937</v>
      </c>
      <c r="B374" s="2">
        <f t="shared" si="20"/>
        <v>0</v>
      </c>
      <c r="C374" s="2">
        <f t="shared" si="22"/>
        <v>0</v>
      </c>
      <c r="D374" s="2">
        <f t="shared" si="23"/>
        <v>67.050000000000011</v>
      </c>
    </row>
    <row r="375" spans="1:4" s="2" customFormat="1" x14ac:dyDescent="0.25">
      <c r="A375">
        <f t="shared" si="21"/>
        <v>7.0999999999999366</v>
      </c>
      <c r="B375" s="2">
        <f t="shared" si="20"/>
        <v>0</v>
      </c>
      <c r="C375" s="2">
        <f t="shared" si="22"/>
        <v>0</v>
      </c>
      <c r="D375" s="2">
        <f t="shared" si="23"/>
        <v>67.050000000000011</v>
      </c>
    </row>
    <row r="376" spans="1:4" s="2" customFormat="1" x14ac:dyDescent="0.25">
      <c r="A376">
        <f t="shared" si="21"/>
        <v>7.1199999999999362</v>
      </c>
      <c r="B376" s="2">
        <f t="shared" si="20"/>
        <v>0</v>
      </c>
      <c r="C376" s="2">
        <f t="shared" si="22"/>
        <v>0</v>
      </c>
      <c r="D376" s="2">
        <f t="shared" si="23"/>
        <v>67.050000000000011</v>
      </c>
    </row>
    <row r="377" spans="1:4" s="2" customFormat="1" x14ac:dyDescent="0.25">
      <c r="A377">
        <f t="shared" si="21"/>
        <v>7.1399999999999357</v>
      </c>
      <c r="B377" s="2">
        <f t="shared" si="20"/>
        <v>0</v>
      </c>
      <c r="C377" s="2">
        <f t="shared" si="22"/>
        <v>0</v>
      </c>
      <c r="D377" s="2">
        <f t="shared" si="23"/>
        <v>67.050000000000011</v>
      </c>
    </row>
    <row r="378" spans="1:4" s="2" customFormat="1" x14ac:dyDescent="0.25">
      <c r="A378">
        <f t="shared" si="21"/>
        <v>7.1599999999999353</v>
      </c>
      <c r="B378" s="2">
        <f t="shared" si="20"/>
        <v>0</v>
      </c>
      <c r="C378" s="2">
        <f t="shared" si="22"/>
        <v>0</v>
      </c>
      <c r="D378" s="2">
        <f t="shared" si="23"/>
        <v>67.050000000000011</v>
      </c>
    </row>
    <row r="379" spans="1:4" s="2" customFormat="1" x14ac:dyDescent="0.25">
      <c r="A379">
        <f t="shared" si="21"/>
        <v>7.1799999999999349</v>
      </c>
      <c r="B379" s="2">
        <f t="shared" si="20"/>
        <v>0</v>
      </c>
      <c r="C379" s="2">
        <f t="shared" si="22"/>
        <v>0</v>
      </c>
      <c r="D379" s="2">
        <f t="shared" si="23"/>
        <v>67.050000000000011</v>
      </c>
    </row>
    <row r="380" spans="1:4" s="2" customFormat="1" x14ac:dyDescent="0.25">
      <c r="A380">
        <f t="shared" si="21"/>
        <v>7.1999999999999345</v>
      </c>
      <c r="B380" s="2">
        <f t="shared" si="20"/>
        <v>0</v>
      </c>
      <c r="C380" s="2">
        <f t="shared" si="22"/>
        <v>0</v>
      </c>
      <c r="D380" s="2">
        <f t="shared" si="23"/>
        <v>67.050000000000011</v>
      </c>
    </row>
    <row r="381" spans="1:4" s="2" customFormat="1" x14ac:dyDescent="0.25">
      <c r="A381">
        <f t="shared" si="21"/>
        <v>7.219999999999934</v>
      </c>
      <c r="B381" s="2">
        <f t="shared" si="20"/>
        <v>0</v>
      </c>
      <c r="C381" s="2">
        <f t="shared" si="22"/>
        <v>0</v>
      </c>
      <c r="D381" s="2">
        <f t="shared" si="23"/>
        <v>67.050000000000011</v>
      </c>
    </row>
    <row r="382" spans="1:4" s="2" customFormat="1" x14ac:dyDescent="0.25">
      <c r="A382">
        <f t="shared" si="21"/>
        <v>7.2399999999999336</v>
      </c>
      <c r="B382" s="2">
        <f t="shared" si="20"/>
        <v>0</v>
      </c>
      <c r="C382" s="2">
        <f t="shared" si="22"/>
        <v>0</v>
      </c>
      <c r="D382" s="2">
        <f t="shared" si="23"/>
        <v>67.050000000000011</v>
      </c>
    </row>
    <row r="383" spans="1:4" s="2" customFormat="1" x14ac:dyDescent="0.25">
      <c r="A383">
        <f t="shared" si="21"/>
        <v>7.2599999999999332</v>
      </c>
      <c r="B383" s="2">
        <f t="shared" si="20"/>
        <v>0</v>
      </c>
      <c r="C383" s="2">
        <f t="shared" si="22"/>
        <v>0</v>
      </c>
      <c r="D383" s="2">
        <f t="shared" si="23"/>
        <v>67.050000000000011</v>
      </c>
    </row>
    <row r="384" spans="1:4" s="2" customFormat="1" x14ac:dyDescent="0.25">
      <c r="A384">
        <f t="shared" si="21"/>
        <v>7.2799999999999327</v>
      </c>
      <c r="B384" s="2">
        <f t="shared" si="20"/>
        <v>0</v>
      </c>
      <c r="C384" s="2">
        <f t="shared" si="22"/>
        <v>0</v>
      </c>
      <c r="D384" s="2">
        <f t="shared" si="23"/>
        <v>67.050000000000011</v>
      </c>
    </row>
    <row r="385" spans="1:4" s="2" customFormat="1" x14ac:dyDescent="0.25">
      <c r="A385">
        <f t="shared" si="21"/>
        <v>7.2999999999999323</v>
      </c>
      <c r="B385" s="2">
        <f t="shared" si="20"/>
        <v>0</v>
      </c>
      <c r="C385" s="2">
        <f t="shared" si="22"/>
        <v>0</v>
      </c>
      <c r="D385" s="2">
        <f t="shared" si="23"/>
        <v>67.050000000000011</v>
      </c>
    </row>
    <row r="386" spans="1:4" s="2" customFormat="1" x14ac:dyDescent="0.25">
      <c r="A386">
        <f t="shared" si="21"/>
        <v>7.3199999999999319</v>
      </c>
      <c r="B386" s="2">
        <f t="shared" si="20"/>
        <v>0</v>
      </c>
      <c r="C386" s="2">
        <f t="shared" si="22"/>
        <v>0</v>
      </c>
      <c r="D386" s="2">
        <f t="shared" si="23"/>
        <v>67.050000000000011</v>
      </c>
    </row>
    <row r="387" spans="1:4" s="2" customFormat="1" x14ac:dyDescent="0.25">
      <c r="A387">
        <f t="shared" si="21"/>
        <v>7.3399999999999315</v>
      </c>
      <c r="B387" s="2">
        <f t="shared" si="20"/>
        <v>0</v>
      </c>
      <c r="C387" s="2">
        <f t="shared" si="22"/>
        <v>0</v>
      </c>
      <c r="D387" s="2">
        <f t="shared" si="23"/>
        <v>67.050000000000011</v>
      </c>
    </row>
    <row r="388" spans="1:4" s="2" customFormat="1" x14ac:dyDescent="0.25">
      <c r="A388">
        <f t="shared" si="21"/>
        <v>7.359999999999931</v>
      </c>
      <c r="B388" s="2">
        <f t="shared" si="20"/>
        <v>0</v>
      </c>
      <c r="C388" s="2">
        <f t="shared" si="22"/>
        <v>0</v>
      </c>
      <c r="D388" s="2">
        <f t="shared" si="23"/>
        <v>67.050000000000011</v>
      </c>
    </row>
    <row r="389" spans="1:4" s="2" customFormat="1" x14ac:dyDescent="0.25">
      <c r="A389">
        <f t="shared" si="21"/>
        <v>7.3799999999999306</v>
      </c>
      <c r="B389" s="2">
        <f t="shared" si="20"/>
        <v>0</v>
      </c>
      <c r="C389" s="2">
        <f t="shared" si="22"/>
        <v>0</v>
      </c>
      <c r="D389" s="2">
        <f t="shared" si="23"/>
        <v>67.050000000000011</v>
      </c>
    </row>
    <row r="390" spans="1:4" s="2" customFormat="1" x14ac:dyDescent="0.25">
      <c r="A390">
        <f t="shared" si="21"/>
        <v>7.3999999999999302</v>
      </c>
      <c r="B390" s="2">
        <f t="shared" si="20"/>
        <v>0</v>
      </c>
      <c r="C390" s="2">
        <f t="shared" si="22"/>
        <v>0</v>
      </c>
      <c r="D390" s="2">
        <f t="shared" si="23"/>
        <v>67.050000000000011</v>
      </c>
    </row>
    <row r="391" spans="1:4" s="2" customFormat="1" x14ac:dyDescent="0.25">
      <c r="A391">
        <f t="shared" si="21"/>
        <v>7.4199999999999298</v>
      </c>
      <c r="B391" s="2">
        <f t="shared" si="20"/>
        <v>0</v>
      </c>
      <c r="C391" s="2">
        <f t="shared" si="22"/>
        <v>0</v>
      </c>
      <c r="D391" s="2">
        <f t="shared" si="23"/>
        <v>67.050000000000011</v>
      </c>
    </row>
    <row r="392" spans="1:4" s="2" customFormat="1" x14ac:dyDescent="0.25">
      <c r="A392">
        <f t="shared" si="21"/>
        <v>7.4399999999999293</v>
      </c>
      <c r="B392" s="2">
        <f t="shared" si="20"/>
        <v>0</v>
      </c>
      <c r="C392" s="2">
        <f t="shared" si="22"/>
        <v>0</v>
      </c>
      <c r="D392" s="2">
        <f t="shared" si="23"/>
        <v>67.050000000000011</v>
      </c>
    </row>
    <row r="393" spans="1:4" s="2" customFormat="1" x14ac:dyDescent="0.25">
      <c r="A393">
        <f t="shared" si="21"/>
        <v>7.4599999999999289</v>
      </c>
      <c r="B393" s="2">
        <f t="shared" si="20"/>
        <v>0</v>
      </c>
      <c r="C393" s="2">
        <f t="shared" si="22"/>
        <v>0</v>
      </c>
      <c r="D393" s="2">
        <f t="shared" si="23"/>
        <v>67.050000000000011</v>
      </c>
    </row>
    <row r="394" spans="1:4" s="2" customFormat="1" x14ac:dyDescent="0.25">
      <c r="A394">
        <f t="shared" si="21"/>
        <v>7.4799999999999285</v>
      </c>
      <c r="B394" s="2">
        <f t="shared" si="20"/>
        <v>0</v>
      </c>
      <c r="C394" s="2">
        <f t="shared" si="22"/>
        <v>0</v>
      </c>
      <c r="D394" s="2">
        <f t="shared" si="23"/>
        <v>67.050000000000011</v>
      </c>
    </row>
    <row r="395" spans="1:4" s="2" customFormat="1" x14ac:dyDescent="0.25">
      <c r="A395">
        <f t="shared" si="21"/>
        <v>7.4999999999999281</v>
      </c>
      <c r="B395" s="2">
        <f t="shared" si="20"/>
        <v>0</v>
      </c>
      <c r="C395" s="2">
        <f t="shared" si="22"/>
        <v>0</v>
      </c>
      <c r="D395" s="2">
        <f t="shared" si="23"/>
        <v>67.050000000000011</v>
      </c>
    </row>
    <row r="396" spans="1:4" s="2" customFormat="1" x14ac:dyDescent="0.25">
      <c r="A396">
        <f t="shared" si="21"/>
        <v>7.5199999999999276</v>
      </c>
      <c r="B396" s="2">
        <f t="shared" si="20"/>
        <v>0</v>
      </c>
      <c r="C396" s="2">
        <f t="shared" si="22"/>
        <v>0</v>
      </c>
      <c r="D396" s="2">
        <f t="shared" si="23"/>
        <v>67.050000000000011</v>
      </c>
    </row>
    <row r="397" spans="1:4" s="2" customFormat="1" x14ac:dyDescent="0.25">
      <c r="A397">
        <f t="shared" si="21"/>
        <v>7.5399999999999272</v>
      </c>
      <c r="B397" s="2">
        <f t="shared" si="20"/>
        <v>0</v>
      </c>
      <c r="C397" s="2">
        <f t="shared" si="22"/>
        <v>0</v>
      </c>
      <c r="D397" s="2">
        <f t="shared" si="23"/>
        <v>67.050000000000011</v>
      </c>
    </row>
    <row r="398" spans="1:4" s="2" customFormat="1" x14ac:dyDescent="0.25">
      <c r="A398">
        <f t="shared" si="21"/>
        <v>7.5599999999999268</v>
      </c>
      <c r="B398" s="2">
        <f t="shared" si="20"/>
        <v>0</v>
      </c>
      <c r="C398" s="2">
        <f t="shared" si="22"/>
        <v>0</v>
      </c>
      <c r="D398" s="2">
        <f t="shared" si="23"/>
        <v>67.050000000000011</v>
      </c>
    </row>
    <row r="399" spans="1:4" s="2" customFormat="1" x14ac:dyDescent="0.25">
      <c r="A399">
        <f t="shared" si="21"/>
        <v>7.5799999999999264</v>
      </c>
      <c r="B399" s="2">
        <f t="shared" si="20"/>
        <v>0</v>
      </c>
      <c r="C399" s="2">
        <f t="shared" si="22"/>
        <v>0</v>
      </c>
      <c r="D399" s="2">
        <f t="shared" si="23"/>
        <v>67.050000000000011</v>
      </c>
    </row>
    <row r="400" spans="1:4" s="2" customFormat="1" x14ac:dyDescent="0.25">
      <c r="A400">
        <f t="shared" si="21"/>
        <v>7.5999999999999259</v>
      </c>
      <c r="B400" s="2">
        <f t="shared" si="20"/>
        <v>0</v>
      </c>
      <c r="C400" s="2">
        <f t="shared" si="22"/>
        <v>0</v>
      </c>
      <c r="D400" s="2">
        <f t="shared" si="23"/>
        <v>67.050000000000011</v>
      </c>
    </row>
    <row r="401" spans="1:4" s="2" customFormat="1" x14ac:dyDescent="0.25">
      <c r="A401">
        <f t="shared" si="21"/>
        <v>7.6199999999999255</v>
      </c>
      <c r="B401" s="2">
        <f t="shared" si="20"/>
        <v>0</v>
      </c>
      <c r="C401" s="2">
        <f t="shared" si="22"/>
        <v>0</v>
      </c>
      <c r="D401" s="2">
        <f t="shared" si="23"/>
        <v>67.050000000000011</v>
      </c>
    </row>
    <row r="402" spans="1:4" s="2" customFormat="1" x14ac:dyDescent="0.25">
      <c r="A402">
        <f t="shared" si="21"/>
        <v>7.6399999999999251</v>
      </c>
      <c r="B402" s="2">
        <f t="shared" si="20"/>
        <v>0</v>
      </c>
      <c r="C402" s="2">
        <f t="shared" si="22"/>
        <v>0</v>
      </c>
      <c r="D402" s="2">
        <f t="shared" si="23"/>
        <v>67.050000000000011</v>
      </c>
    </row>
    <row r="403" spans="1:4" s="2" customFormat="1" x14ac:dyDescent="0.25">
      <c r="A403">
        <f t="shared" si="21"/>
        <v>7.6599999999999246</v>
      </c>
      <c r="B403" s="2">
        <f t="shared" si="20"/>
        <v>0</v>
      </c>
      <c r="C403" s="2">
        <f t="shared" si="22"/>
        <v>0</v>
      </c>
      <c r="D403" s="2">
        <f t="shared" si="23"/>
        <v>67.050000000000011</v>
      </c>
    </row>
    <row r="404" spans="1:4" s="2" customFormat="1" x14ac:dyDescent="0.25">
      <c r="A404">
        <f t="shared" si="21"/>
        <v>7.6799999999999242</v>
      </c>
      <c r="B404" s="2">
        <f t="shared" si="20"/>
        <v>0</v>
      </c>
      <c r="C404" s="2">
        <f t="shared" si="22"/>
        <v>0</v>
      </c>
      <c r="D404" s="2">
        <f t="shared" si="23"/>
        <v>67.050000000000011</v>
      </c>
    </row>
    <row r="405" spans="1:4" s="2" customFormat="1" x14ac:dyDescent="0.25">
      <c r="A405">
        <f t="shared" si="21"/>
        <v>7.6999999999999238</v>
      </c>
      <c r="B405" s="2">
        <f t="shared" ref="B405:B468" si="24">MAX(0,IF(A405&lt;$B$14,B404+$B$8,IF(AND(A405&gt;=$B$14,A405&lt;=$B$15),$B$11/$B$2,B404-$B$8)))</f>
        <v>0</v>
      </c>
      <c r="C405" s="2">
        <f t="shared" si="22"/>
        <v>0</v>
      </c>
      <c r="D405" s="2">
        <f t="shared" si="23"/>
        <v>67.050000000000011</v>
      </c>
    </row>
    <row r="406" spans="1:4" s="2" customFormat="1" x14ac:dyDescent="0.25">
      <c r="A406">
        <f t="shared" ref="A406:A469" si="25">A405+$B$1</f>
        <v>7.7199999999999234</v>
      </c>
      <c r="B406" s="2">
        <f t="shared" si="24"/>
        <v>0</v>
      </c>
      <c r="C406" s="2">
        <f t="shared" ref="C406:C469" si="26">B406*$B$2</f>
        <v>0</v>
      </c>
      <c r="D406" s="2">
        <f t="shared" ref="D406:D469" si="27">D405+C405*$B$1</f>
        <v>67.050000000000011</v>
      </c>
    </row>
    <row r="407" spans="1:4" s="2" customFormat="1" x14ac:dyDescent="0.25">
      <c r="A407">
        <f t="shared" si="25"/>
        <v>7.7399999999999229</v>
      </c>
      <c r="B407" s="2">
        <f t="shared" si="24"/>
        <v>0</v>
      </c>
      <c r="C407" s="2">
        <f t="shared" si="26"/>
        <v>0</v>
      </c>
      <c r="D407" s="2">
        <f t="shared" si="27"/>
        <v>67.050000000000011</v>
      </c>
    </row>
    <row r="408" spans="1:4" s="2" customFormat="1" x14ac:dyDescent="0.25">
      <c r="A408">
        <f t="shared" si="25"/>
        <v>7.7599999999999225</v>
      </c>
      <c r="B408" s="2">
        <f t="shared" si="24"/>
        <v>0</v>
      </c>
      <c r="C408" s="2">
        <f t="shared" si="26"/>
        <v>0</v>
      </c>
      <c r="D408" s="2">
        <f t="shared" si="27"/>
        <v>67.050000000000011</v>
      </c>
    </row>
    <row r="409" spans="1:4" s="2" customFormat="1" x14ac:dyDescent="0.25">
      <c r="A409">
        <f t="shared" si="25"/>
        <v>7.7799999999999221</v>
      </c>
      <c r="B409" s="2">
        <f t="shared" si="24"/>
        <v>0</v>
      </c>
      <c r="C409" s="2">
        <f t="shared" si="26"/>
        <v>0</v>
      </c>
      <c r="D409" s="2">
        <f t="shared" si="27"/>
        <v>67.050000000000011</v>
      </c>
    </row>
    <row r="410" spans="1:4" s="2" customFormat="1" x14ac:dyDescent="0.25">
      <c r="A410">
        <f t="shared" si="25"/>
        <v>7.7999999999999217</v>
      </c>
      <c r="B410" s="2">
        <f t="shared" si="24"/>
        <v>0</v>
      </c>
      <c r="C410" s="2">
        <f t="shared" si="26"/>
        <v>0</v>
      </c>
      <c r="D410" s="2">
        <f t="shared" si="27"/>
        <v>67.050000000000011</v>
      </c>
    </row>
    <row r="411" spans="1:4" s="2" customFormat="1" x14ac:dyDescent="0.25">
      <c r="A411">
        <f t="shared" si="25"/>
        <v>7.8199999999999212</v>
      </c>
      <c r="B411" s="2">
        <f t="shared" si="24"/>
        <v>0</v>
      </c>
      <c r="C411" s="2">
        <f t="shared" si="26"/>
        <v>0</v>
      </c>
      <c r="D411" s="2">
        <f t="shared" si="27"/>
        <v>67.050000000000011</v>
      </c>
    </row>
    <row r="412" spans="1:4" s="2" customFormat="1" x14ac:dyDescent="0.25">
      <c r="A412">
        <f t="shared" si="25"/>
        <v>7.8399999999999208</v>
      </c>
      <c r="B412" s="2">
        <f t="shared" si="24"/>
        <v>0</v>
      </c>
      <c r="C412" s="2">
        <f t="shared" si="26"/>
        <v>0</v>
      </c>
      <c r="D412" s="2">
        <f t="shared" si="27"/>
        <v>67.050000000000011</v>
      </c>
    </row>
    <row r="413" spans="1:4" s="2" customFormat="1" x14ac:dyDescent="0.25">
      <c r="A413">
        <f t="shared" si="25"/>
        <v>7.8599999999999204</v>
      </c>
      <c r="B413" s="2">
        <f t="shared" si="24"/>
        <v>0</v>
      </c>
      <c r="C413" s="2">
        <f t="shared" si="26"/>
        <v>0</v>
      </c>
      <c r="D413" s="2">
        <f t="shared" si="27"/>
        <v>67.050000000000011</v>
      </c>
    </row>
    <row r="414" spans="1:4" s="2" customFormat="1" x14ac:dyDescent="0.25">
      <c r="A414">
        <f t="shared" si="25"/>
        <v>7.87999999999992</v>
      </c>
      <c r="B414" s="2">
        <f t="shared" si="24"/>
        <v>0</v>
      </c>
      <c r="C414" s="2">
        <f t="shared" si="26"/>
        <v>0</v>
      </c>
      <c r="D414" s="2">
        <f t="shared" si="27"/>
        <v>67.050000000000011</v>
      </c>
    </row>
    <row r="415" spans="1:4" s="2" customFormat="1" x14ac:dyDescent="0.25">
      <c r="A415">
        <f t="shared" si="25"/>
        <v>7.8999999999999195</v>
      </c>
      <c r="B415" s="2">
        <f t="shared" si="24"/>
        <v>0</v>
      </c>
      <c r="C415" s="2">
        <f t="shared" si="26"/>
        <v>0</v>
      </c>
      <c r="D415" s="2">
        <f t="shared" si="27"/>
        <v>67.050000000000011</v>
      </c>
    </row>
    <row r="416" spans="1:4" s="2" customFormat="1" x14ac:dyDescent="0.25">
      <c r="A416">
        <f t="shared" si="25"/>
        <v>7.9199999999999191</v>
      </c>
      <c r="B416" s="2">
        <f t="shared" si="24"/>
        <v>0</v>
      </c>
      <c r="C416" s="2">
        <f t="shared" si="26"/>
        <v>0</v>
      </c>
      <c r="D416" s="2">
        <f t="shared" si="27"/>
        <v>67.050000000000011</v>
      </c>
    </row>
    <row r="417" spans="1:4" s="2" customFormat="1" x14ac:dyDescent="0.25">
      <c r="A417">
        <f t="shared" si="25"/>
        <v>7.9399999999999187</v>
      </c>
      <c r="B417" s="2">
        <f t="shared" si="24"/>
        <v>0</v>
      </c>
      <c r="C417" s="2">
        <f t="shared" si="26"/>
        <v>0</v>
      </c>
      <c r="D417" s="2">
        <f t="shared" si="27"/>
        <v>67.050000000000011</v>
      </c>
    </row>
    <row r="418" spans="1:4" s="2" customFormat="1" x14ac:dyDescent="0.25">
      <c r="A418">
        <f t="shared" si="25"/>
        <v>7.9599999999999183</v>
      </c>
      <c r="B418" s="2">
        <f t="shared" si="24"/>
        <v>0</v>
      </c>
      <c r="C418" s="2">
        <f t="shared" si="26"/>
        <v>0</v>
      </c>
      <c r="D418" s="2">
        <f t="shared" si="27"/>
        <v>67.050000000000011</v>
      </c>
    </row>
    <row r="419" spans="1:4" s="2" customFormat="1" x14ac:dyDescent="0.25">
      <c r="A419">
        <f t="shared" si="25"/>
        <v>7.9799999999999178</v>
      </c>
      <c r="B419" s="2">
        <f t="shared" si="24"/>
        <v>0</v>
      </c>
      <c r="C419" s="2">
        <f t="shared" si="26"/>
        <v>0</v>
      </c>
      <c r="D419" s="2">
        <f t="shared" si="27"/>
        <v>67.050000000000011</v>
      </c>
    </row>
    <row r="420" spans="1:4" s="2" customFormat="1" x14ac:dyDescent="0.25">
      <c r="A420">
        <f t="shared" si="25"/>
        <v>7.9999999999999174</v>
      </c>
      <c r="B420" s="2">
        <f t="shared" si="24"/>
        <v>0</v>
      </c>
      <c r="C420" s="2">
        <f t="shared" si="26"/>
        <v>0</v>
      </c>
      <c r="D420" s="2">
        <f t="shared" si="27"/>
        <v>67.050000000000011</v>
      </c>
    </row>
    <row r="421" spans="1:4" s="2" customFormat="1" x14ac:dyDescent="0.25">
      <c r="A421">
        <f t="shared" si="25"/>
        <v>8.0199999999999179</v>
      </c>
      <c r="B421" s="2">
        <f t="shared" si="24"/>
        <v>0</v>
      </c>
      <c r="C421" s="2">
        <f t="shared" si="26"/>
        <v>0</v>
      </c>
      <c r="D421" s="2">
        <f t="shared" si="27"/>
        <v>67.050000000000011</v>
      </c>
    </row>
    <row r="422" spans="1:4" s="2" customFormat="1" x14ac:dyDescent="0.25">
      <c r="A422">
        <f t="shared" si="25"/>
        <v>8.0399999999999174</v>
      </c>
      <c r="B422" s="2">
        <f t="shared" si="24"/>
        <v>0</v>
      </c>
      <c r="C422" s="2">
        <f t="shared" si="26"/>
        <v>0</v>
      </c>
      <c r="D422" s="2">
        <f t="shared" si="27"/>
        <v>67.050000000000011</v>
      </c>
    </row>
    <row r="423" spans="1:4" s="2" customFormat="1" x14ac:dyDescent="0.25">
      <c r="A423">
        <f t="shared" si="25"/>
        <v>8.059999999999917</v>
      </c>
      <c r="B423" s="2">
        <f t="shared" si="24"/>
        <v>0</v>
      </c>
      <c r="C423" s="2">
        <f t="shared" si="26"/>
        <v>0</v>
      </c>
      <c r="D423" s="2">
        <f t="shared" si="27"/>
        <v>67.050000000000011</v>
      </c>
    </row>
    <row r="424" spans="1:4" s="2" customFormat="1" x14ac:dyDescent="0.25">
      <c r="A424">
        <f t="shared" si="25"/>
        <v>8.0799999999999166</v>
      </c>
      <c r="B424" s="2">
        <f t="shared" si="24"/>
        <v>0</v>
      </c>
      <c r="C424" s="2">
        <f t="shared" si="26"/>
        <v>0</v>
      </c>
      <c r="D424" s="2">
        <f t="shared" si="27"/>
        <v>67.050000000000011</v>
      </c>
    </row>
    <row r="425" spans="1:4" s="2" customFormat="1" x14ac:dyDescent="0.25">
      <c r="A425">
        <f t="shared" si="25"/>
        <v>8.0999999999999162</v>
      </c>
      <c r="B425" s="2">
        <f t="shared" si="24"/>
        <v>0</v>
      </c>
      <c r="C425" s="2">
        <f t="shared" si="26"/>
        <v>0</v>
      </c>
      <c r="D425" s="2">
        <f t="shared" si="27"/>
        <v>67.050000000000011</v>
      </c>
    </row>
    <row r="426" spans="1:4" s="2" customFormat="1" x14ac:dyDescent="0.25">
      <c r="A426">
        <f t="shared" si="25"/>
        <v>8.1199999999999157</v>
      </c>
      <c r="B426" s="2">
        <f t="shared" si="24"/>
        <v>0</v>
      </c>
      <c r="C426" s="2">
        <f t="shared" si="26"/>
        <v>0</v>
      </c>
      <c r="D426" s="2">
        <f t="shared" si="27"/>
        <v>67.050000000000011</v>
      </c>
    </row>
    <row r="427" spans="1:4" s="2" customFormat="1" x14ac:dyDescent="0.25">
      <c r="A427">
        <f t="shared" si="25"/>
        <v>8.1399999999999153</v>
      </c>
      <c r="B427" s="2">
        <f t="shared" si="24"/>
        <v>0</v>
      </c>
      <c r="C427" s="2">
        <f t="shared" si="26"/>
        <v>0</v>
      </c>
      <c r="D427" s="2">
        <f t="shared" si="27"/>
        <v>67.050000000000011</v>
      </c>
    </row>
    <row r="428" spans="1:4" s="2" customFormat="1" x14ac:dyDescent="0.25">
      <c r="A428">
        <f t="shared" si="25"/>
        <v>8.1599999999999149</v>
      </c>
      <c r="B428" s="2">
        <f t="shared" si="24"/>
        <v>0</v>
      </c>
      <c r="C428" s="2">
        <f t="shared" si="26"/>
        <v>0</v>
      </c>
      <c r="D428" s="2">
        <f t="shared" si="27"/>
        <v>67.050000000000011</v>
      </c>
    </row>
    <row r="429" spans="1:4" s="2" customFormat="1" x14ac:dyDescent="0.25">
      <c r="A429">
        <f t="shared" si="25"/>
        <v>8.1799999999999145</v>
      </c>
      <c r="B429" s="2">
        <f t="shared" si="24"/>
        <v>0</v>
      </c>
      <c r="C429" s="2">
        <f t="shared" si="26"/>
        <v>0</v>
      </c>
      <c r="D429" s="2">
        <f t="shared" si="27"/>
        <v>67.050000000000011</v>
      </c>
    </row>
    <row r="430" spans="1:4" s="2" customFormat="1" x14ac:dyDescent="0.25">
      <c r="A430">
        <f t="shared" si="25"/>
        <v>8.199999999999914</v>
      </c>
      <c r="B430" s="2">
        <f t="shared" si="24"/>
        <v>0</v>
      </c>
      <c r="C430" s="2">
        <f t="shared" si="26"/>
        <v>0</v>
      </c>
      <c r="D430" s="2">
        <f t="shared" si="27"/>
        <v>67.050000000000011</v>
      </c>
    </row>
    <row r="431" spans="1:4" s="2" customFormat="1" x14ac:dyDescent="0.25">
      <c r="A431">
        <f t="shared" si="25"/>
        <v>8.2199999999999136</v>
      </c>
      <c r="B431" s="2">
        <f t="shared" si="24"/>
        <v>0</v>
      </c>
      <c r="C431" s="2">
        <f t="shared" si="26"/>
        <v>0</v>
      </c>
      <c r="D431" s="2">
        <f t="shared" si="27"/>
        <v>67.050000000000011</v>
      </c>
    </row>
    <row r="432" spans="1:4" s="2" customFormat="1" x14ac:dyDescent="0.25">
      <c r="A432">
        <f t="shared" si="25"/>
        <v>8.2399999999999132</v>
      </c>
      <c r="B432" s="2">
        <f t="shared" si="24"/>
        <v>0</v>
      </c>
      <c r="C432" s="2">
        <f t="shared" si="26"/>
        <v>0</v>
      </c>
      <c r="D432" s="2">
        <f t="shared" si="27"/>
        <v>67.050000000000011</v>
      </c>
    </row>
    <row r="433" spans="1:4" s="2" customFormat="1" x14ac:dyDescent="0.25">
      <c r="A433">
        <f t="shared" si="25"/>
        <v>8.2599999999999127</v>
      </c>
      <c r="B433" s="2">
        <f t="shared" si="24"/>
        <v>0</v>
      </c>
      <c r="C433" s="2">
        <f t="shared" si="26"/>
        <v>0</v>
      </c>
      <c r="D433" s="2">
        <f t="shared" si="27"/>
        <v>67.050000000000011</v>
      </c>
    </row>
    <row r="434" spans="1:4" s="2" customFormat="1" x14ac:dyDescent="0.25">
      <c r="A434">
        <f t="shared" si="25"/>
        <v>8.2799999999999123</v>
      </c>
      <c r="B434" s="2">
        <f t="shared" si="24"/>
        <v>0</v>
      </c>
      <c r="C434" s="2">
        <f t="shared" si="26"/>
        <v>0</v>
      </c>
      <c r="D434" s="2">
        <f t="shared" si="27"/>
        <v>67.050000000000011</v>
      </c>
    </row>
    <row r="435" spans="1:4" s="2" customFormat="1" x14ac:dyDescent="0.25">
      <c r="A435">
        <f t="shared" si="25"/>
        <v>8.2999999999999119</v>
      </c>
      <c r="B435" s="2">
        <f t="shared" si="24"/>
        <v>0</v>
      </c>
      <c r="C435" s="2">
        <f t="shared" si="26"/>
        <v>0</v>
      </c>
      <c r="D435" s="2">
        <f t="shared" si="27"/>
        <v>67.050000000000011</v>
      </c>
    </row>
    <row r="436" spans="1:4" s="2" customFormat="1" x14ac:dyDescent="0.25">
      <c r="A436">
        <f t="shared" si="25"/>
        <v>8.3199999999999115</v>
      </c>
      <c r="B436" s="2">
        <f t="shared" si="24"/>
        <v>0</v>
      </c>
      <c r="C436" s="2">
        <f t="shared" si="26"/>
        <v>0</v>
      </c>
      <c r="D436" s="2">
        <f t="shared" si="27"/>
        <v>67.050000000000011</v>
      </c>
    </row>
    <row r="437" spans="1:4" s="2" customFormat="1" x14ac:dyDescent="0.25">
      <c r="A437">
        <f t="shared" si="25"/>
        <v>8.339999999999911</v>
      </c>
      <c r="B437" s="2">
        <f t="shared" si="24"/>
        <v>0</v>
      </c>
      <c r="C437" s="2">
        <f t="shared" si="26"/>
        <v>0</v>
      </c>
      <c r="D437" s="2">
        <f t="shared" si="27"/>
        <v>67.050000000000011</v>
      </c>
    </row>
    <row r="438" spans="1:4" s="2" customFormat="1" x14ac:dyDescent="0.25">
      <c r="A438">
        <f t="shared" si="25"/>
        <v>8.3599999999999106</v>
      </c>
      <c r="B438" s="2">
        <f t="shared" si="24"/>
        <v>0</v>
      </c>
      <c r="C438" s="2">
        <f t="shared" si="26"/>
        <v>0</v>
      </c>
      <c r="D438" s="2">
        <f t="shared" si="27"/>
        <v>67.050000000000011</v>
      </c>
    </row>
    <row r="439" spans="1:4" s="2" customFormat="1" x14ac:dyDescent="0.25">
      <c r="A439">
        <f t="shared" si="25"/>
        <v>8.3799999999999102</v>
      </c>
      <c r="B439" s="2">
        <f t="shared" si="24"/>
        <v>0</v>
      </c>
      <c r="C439" s="2">
        <f t="shared" si="26"/>
        <v>0</v>
      </c>
      <c r="D439" s="2">
        <f t="shared" si="27"/>
        <v>67.050000000000011</v>
      </c>
    </row>
    <row r="440" spans="1:4" s="2" customFormat="1" x14ac:dyDescent="0.25">
      <c r="A440">
        <f t="shared" si="25"/>
        <v>8.3999999999999098</v>
      </c>
      <c r="B440" s="2">
        <f t="shared" si="24"/>
        <v>0</v>
      </c>
      <c r="C440" s="2">
        <f t="shared" si="26"/>
        <v>0</v>
      </c>
      <c r="D440" s="2">
        <f t="shared" si="27"/>
        <v>67.050000000000011</v>
      </c>
    </row>
    <row r="441" spans="1:4" s="2" customFormat="1" x14ac:dyDescent="0.25">
      <c r="A441">
        <f t="shared" si="25"/>
        <v>8.4199999999999093</v>
      </c>
      <c r="B441" s="2">
        <f t="shared" si="24"/>
        <v>0</v>
      </c>
      <c r="C441" s="2">
        <f t="shared" si="26"/>
        <v>0</v>
      </c>
      <c r="D441" s="2">
        <f t="shared" si="27"/>
        <v>67.050000000000011</v>
      </c>
    </row>
    <row r="442" spans="1:4" s="2" customFormat="1" x14ac:dyDescent="0.25">
      <c r="A442">
        <f t="shared" si="25"/>
        <v>8.4399999999999089</v>
      </c>
      <c r="B442" s="2">
        <f t="shared" si="24"/>
        <v>0</v>
      </c>
      <c r="C442" s="2">
        <f t="shared" si="26"/>
        <v>0</v>
      </c>
      <c r="D442" s="2">
        <f t="shared" si="27"/>
        <v>67.050000000000011</v>
      </c>
    </row>
    <row r="443" spans="1:4" s="2" customFormat="1" x14ac:dyDescent="0.25">
      <c r="A443">
        <f t="shared" si="25"/>
        <v>8.4599999999999085</v>
      </c>
      <c r="B443" s="2">
        <f t="shared" si="24"/>
        <v>0</v>
      </c>
      <c r="C443" s="2">
        <f t="shared" si="26"/>
        <v>0</v>
      </c>
      <c r="D443" s="2">
        <f t="shared" si="27"/>
        <v>67.050000000000011</v>
      </c>
    </row>
    <row r="444" spans="1:4" s="2" customFormat="1" x14ac:dyDescent="0.25">
      <c r="A444">
        <f t="shared" si="25"/>
        <v>8.4799999999999081</v>
      </c>
      <c r="B444" s="2">
        <f t="shared" si="24"/>
        <v>0</v>
      </c>
      <c r="C444" s="2">
        <f t="shared" si="26"/>
        <v>0</v>
      </c>
      <c r="D444" s="2">
        <f t="shared" si="27"/>
        <v>67.050000000000011</v>
      </c>
    </row>
    <row r="445" spans="1:4" s="2" customFormat="1" x14ac:dyDescent="0.25">
      <c r="A445">
        <f t="shared" si="25"/>
        <v>8.4999999999999076</v>
      </c>
      <c r="B445" s="2">
        <f t="shared" si="24"/>
        <v>0</v>
      </c>
      <c r="C445" s="2">
        <f t="shared" si="26"/>
        <v>0</v>
      </c>
      <c r="D445" s="2">
        <f t="shared" si="27"/>
        <v>67.050000000000011</v>
      </c>
    </row>
    <row r="446" spans="1:4" s="2" customFormat="1" x14ac:dyDescent="0.25">
      <c r="A446">
        <f t="shared" si="25"/>
        <v>8.5199999999999072</v>
      </c>
      <c r="B446" s="2">
        <f t="shared" si="24"/>
        <v>0</v>
      </c>
      <c r="C446" s="2">
        <f t="shared" si="26"/>
        <v>0</v>
      </c>
      <c r="D446" s="2">
        <f t="shared" si="27"/>
        <v>67.050000000000011</v>
      </c>
    </row>
    <row r="447" spans="1:4" s="2" customFormat="1" x14ac:dyDescent="0.25">
      <c r="A447">
        <f t="shared" si="25"/>
        <v>8.5399999999999068</v>
      </c>
      <c r="B447" s="2">
        <f t="shared" si="24"/>
        <v>0</v>
      </c>
      <c r="C447" s="2">
        <f t="shared" si="26"/>
        <v>0</v>
      </c>
      <c r="D447" s="2">
        <f t="shared" si="27"/>
        <v>67.050000000000011</v>
      </c>
    </row>
    <row r="448" spans="1:4" s="2" customFormat="1" x14ac:dyDescent="0.25">
      <c r="A448">
        <f t="shared" si="25"/>
        <v>8.5599999999999064</v>
      </c>
      <c r="B448" s="2">
        <f t="shared" si="24"/>
        <v>0</v>
      </c>
      <c r="C448" s="2">
        <f t="shared" si="26"/>
        <v>0</v>
      </c>
      <c r="D448" s="2">
        <f t="shared" si="27"/>
        <v>67.050000000000011</v>
      </c>
    </row>
    <row r="449" spans="1:4" s="2" customFormat="1" x14ac:dyDescent="0.25">
      <c r="A449">
        <f t="shared" si="25"/>
        <v>8.5799999999999059</v>
      </c>
      <c r="B449" s="2">
        <f t="shared" si="24"/>
        <v>0</v>
      </c>
      <c r="C449" s="2">
        <f t="shared" si="26"/>
        <v>0</v>
      </c>
      <c r="D449" s="2">
        <f t="shared" si="27"/>
        <v>67.050000000000011</v>
      </c>
    </row>
    <row r="450" spans="1:4" s="2" customFormat="1" x14ac:dyDescent="0.25">
      <c r="A450">
        <f t="shared" si="25"/>
        <v>8.5999999999999055</v>
      </c>
      <c r="B450" s="2">
        <f t="shared" si="24"/>
        <v>0</v>
      </c>
      <c r="C450" s="2">
        <f t="shared" si="26"/>
        <v>0</v>
      </c>
      <c r="D450" s="2">
        <f t="shared" si="27"/>
        <v>67.050000000000011</v>
      </c>
    </row>
    <row r="451" spans="1:4" s="2" customFormat="1" x14ac:dyDescent="0.25">
      <c r="A451">
        <f t="shared" si="25"/>
        <v>8.6199999999999051</v>
      </c>
      <c r="B451" s="2">
        <f t="shared" si="24"/>
        <v>0</v>
      </c>
      <c r="C451" s="2">
        <f t="shared" si="26"/>
        <v>0</v>
      </c>
      <c r="D451" s="2">
        <f t="shared" si="27"/>
        <v>67.050000000000011</v>
      </c>
    </row>
    <row r="452" spans="1:4" s="2" customFormat="1" x14ac:dyDescent="0.25">
      <c r="A452">
        <f t="shared" si="25"/>
        <v>8.6399999999999046</v>
      </c>
      <c r="B452" s="2">
        <f t="shared" si="24"/>
        <v>0</v>
      </c>
      <c r="C452" s="2">
        <f t="shared" si="26"/>
        <v>0</v>
      </c>
      <c r="D452" s="2">
        <f t="shared" si="27"/>
        <v>67.050000000000011</v>
      </c>
    </row>
    <row r="453" spans="1:4" s="2" customFormat="1" x14ac:dyDescent="0.25">
      <c r="A453">
        <f t="shared" si="25"/>
        <v>8.6599999999999042</v>
      </c>
      <c r="B453" s="2">
        <f t="shared" si="24"/>
        <v>0</v>
      </c>
      <c r="C453" s="2">
        <f t="shared" si="26"/>
        <v>0</v>
      </c>
      <c r="D453" s="2">
        <f t="shared" si="27"/>
        <v>67.050000000000011</v>
      </c>
    </row>
    <row r="454" spans="1:4" s="2" customFormat="1" x14ac:dyDescent="0.25">
      <c r="A454">
        <f t="shared" si="25"/>
        <v>8.6799999999999038</v>
      </c>
      <c r="B454" s="2">
        <f t="shared" si="24"/>
        <v>0</v>
      </c>
      <c r="C454" s="2">
        <f t="shared" si="26"/>
        <v>0</v>
      </c>
      <c r="D454" s="2">
        <f t="shared" si="27"/>
        <v>67.050000000000011</v>
      </c>
    </row>
    <row r="455" spans="1:4" s="2" customFormat="1" x14ac:dyDescent="0.25">
      <c r="A455">
        <f t="shared" si="25"/>
        <v>8.6999999999999034</v>
      </c>
      <c r="B455" s="2">
        <f t="shared" si="24"/>
        <v>0</v>
      </c>
      <c r="C455" s="2">
        <f t="shared" si="26"/>
        <v>0</v>
      </c>
      <c r="D455" s="2">
        <f t="shared" si="27"/>
        <v>67.050000000000011</v>
      </c>
    </row>
    <row r="456" spans="1:4" s="2" customFormat="1" x14ac:dyDescent="0.25">
      <c r="A456">
        <f t="shared" si="25"/>
        <v>8.7199999999999029</v>
      </c>
      <c r="B456" s="2">
        <f t="shared" si="24"/>
        <v>0</v>
      </c>
      <c r="C456" s="2">
        <f t="shared" si="26"/>
        <v>0</v>
      </c>
      <c r="D456" s="2">
        <f t="shared" si="27"/>
        <v>67.050000000000011</v>
      </c>
    </row>
    <row r="457" spans="1:4" s="2" customFormat="1" x14ac:dyDescent="0.25">
      <c r="A457">
        <f t="shared" si="25"/>
        <v>8.7399999999999025</v>
      </c>
      <c r="B457" s="2">
        <f t="shared" si="24"/>
        <v>0</v>
      </c>
      <c r="C457" s="2">
        <f t="shared" si="26"/>
        <v>0</v>
      </c>
      <c r="D457" s="2">
        <f t="shared" si="27"/>
        <v>67.050000000000011</v>
      </c>
    </row>
    <row r="458" spans="1:4" s="2" customFormat="1" x14ac:dyDescent="0.25">
      <c r="A458">
        <f t="shared" si="25"/>
        <v>8.7599999999999021</v>
      </c>
      <c r="B458" s="2">
        <f t="shared" si="24"/>
        <v>0</v>
      </c>
      <c r="C458" s="2">
        <f t="shared" si="26"/>
        <v>0</v>
      </c>
      <c r="D458" s="2">
        <f t="shared" si="27"/>
        <v>67.050000000000011</v>
      </c>
    </row>
    <row r="459" spans="1:4" s="2" customFormat="1" x14ac:dyDescent="0.25">
      <c r="A459">
        <f t="shared" si="25"/>
        <v>8.7799999999999017</v>
      </c>
      <c r="B459" s="2">
        <f t="shared" si="24"/>
        <v>0</v>
      </c>
      <c r="C459" s="2">
        <f t="shared" si="26"/>
        <v>0</v>
      </c>
      <c r="D459" s="2">
        <f t="shared" si="27"/>
        <v>67.050000000000011</v>
      </c>
    </row>
    <row r="460" spans="1:4" s="2" customFormat="1" x14ac:dyDescent="0.25">
      <c r="A460">
        <f t="shared" si="25"/>
        <v>8.7999999999999012</v>
      </c>
      <c r="B460" s="2">
        <f t="shared" si="24"/>
        <v>0</v>
      </c>
      <c r="C460" s="2">
        <f t="shared" si="26"/>
        <v>0</v>
      </c>
      <c r="D460" s="2">
        <f t="shared" si="27"/>
        <v>67.050000000000011</v>
      </c>
    </row>
    <row r="461" spans="1:4" s="2" customFormat="1" x14ac:dyDescent="0.25">
      <c r="A461">
        <f t="shared" si="25"/>
        <v>8.8199999999999008</v>
      </c>
      <c r="B461" s="2">
        <f t="shared" si="24"/>
        <v>0</v>
      </c>
      <c r="C461" s="2">
        <f t="shared" si="26"/>
        <v>0</v>
      </c>
      <c r="D461" s="2">
        <f t="shared" si="27"/>
        <v>67.050000000000011</v>
      </c>
    </row>
    <row r="462" spans="1:4" s="2" customFormat="1" x14ac:dyDescent="0.25">
      <c r="A462">
        <f t="shared" si="25"/>
        <v>8.8399999999999004</v>
      </c>
      <c r="B462" s="2">
        <f t="shared" si="24"/>
        <v>0</v>
      </c>
      <c r="C462" s="2">
        <f t="shared" si="26"/>
        <v>0</v>
      </c>
      <c r="D462" s="2">
        <f t="shared" si="27"/>
        <v>67.050000000000011</v>
      </c>
    </row>
    <row r="463" spans="1:4" s="2" customFormat="1" x14ac:dyDescent="0.25">
      <c r="A463">
        <f t="shared" si="25"/>
        <v>8.8599999999999</v>
      </c>
      <c r="B463" s="2">
        <f t="shared" si="24"/>
        <v>0</v>
      </c>
      <c r="C463" s="2">
        <f t="shared" si="26"/>
        <v>0</v>
      </c>
      <c r="D463" s="2">
        <f t="shared" si="27"/>
        <v>67.050000000000011</v>
      </c>
    </row>
    <row r="464" spans="1:4" s="2" customFormat="1" x14ac:dyDescent="0.25">
      <c r="A464">
        <f t="shared" si="25"/>
        <v>8.8799999999998995</v>
      </c>
      <c r="B464" s="2">
        <f t="shared" si="24"/>
        <v>0</v>
      </c>
      <c r="C464" s="2">
        <f t="shared" si="26"/>
        <v>0</v>
      </c>
      <c r="D464" s="2">
        <f t="shared" si="27"/>
        <v>67.050000000000011</v>
      </c>
    </row>
    <row r="465" spans="1:4" s="2" customFormat="1" x14ac:dyDescent="0.25">
      <c r="A465">
        <f t="shared" si="25"/>
        <v>8.8999999999998991</v>
      </c>
      <c r="B465" s="2">
        <f t="shared" si="24"/>
        <v>0</v>
      </c>
      <c r="C465" s="2">
        <f t="shared" si="26"/>
        <v>0</v>
      </c>
      <c r="D465" s="2">
        <f t="shared" si="27"/>
        <v>67.050000000000011</v>
      </c>
    </row>
    <row r="466" spans="1:4" s="2" customFormat="1" x14ac:dyDescent="0.25">
      <c r="A466">
        <f t="shared" si="25"/>
        <v>8.9199999999998987</v>
      </c>
      <c r="B466" s="2">
        <f t="shared" si="24"/>
        <v>0</v>
      </c>
      <c r="C466" s="2">
        <f t="shared" si="26"/>
        <v>0</v>
      </c>
      <c r="D466" s="2">
        <f t="shared" si="27"/>
        <v>67.050000000000011</v>
      </c>
    </row>
    <row r="467" spans="1:4" s="2" customFormat="1" x14ac:dyDescent="0.25">
      <c r="A467">
        <f t="shared" si="25"/>
        <v>8.9399999999998983</v>
      </c>
      <c r="B467" s="2">
        <f t="shared" si="24"/>
        <v>0</v>
      </c>
      <c r="C467" s="2">
        <f t="shared" si="26"/>
        <v>0</v>
      </c>
      <c r="D467" s="2">
        <f t="shared" si="27"/>
        <v>67.050000000000011</v>
      </c>
    </row>
    <row r="468" spans="1:4" s="2" customFormat="1" x14ac:dyDescent="0.25">
      <c r="A468">
        <f t="shared" si="25"/>
        <v>8.9599999999998978</v>
      </c>
      <c r="B468" s="2">
        <f t="shared" si="24"/>
        <v>0</v>
      </c>
      <c r="C468" s="2">
        <f t="shared" si="26"/>
        <v>0</v>
      </c>
      <c r="D468" s="2">
        <f t="shared" si="27"/>
        <v>67.050000000000011</v>
      </c>
    </row>
    <row r="469" spans="1:4" s="2" customFormat="1" x14ac:dyDescent="0.25">
      <c r="A469">
        <f t="shared" si="25"/>
        <v>8.9799999999998974</v>
      </c>
      <c r="B469" s="2">
        <f t="shared" ref="B469:B532" si="28">MAX(0,IF(A469&lt;$B$14,B468+$B$8,IF(AND(A469&gt;=$B$14,A469&lt;=$B$15),$B$11/$B$2,B468-$B$8)))</f>
        <v>0</v>
      </c>
      <c r="C469" s="2">
        <f t="shared" si="26"/>
        <v>0</v>
      </c>
      <c r="D469" s="2">
        <f t="shared" si="27"/>
        <v>67.050000000000011</v>
      </c>
    </row>
    <row r="470" spans="1:4" s="2" customFormat="1" x14ac:dyDescent="0.25">
      <c r="A470">
        <f t="shared" ref="A470:A533" si="29">A469+$B$1</f>
        <v>8.999999999999897</v>
      </c>
      <c r="B470" s="2">
        <f t="shared" si="28"/>
        <v>0</v>
      </c>
      <c r="C470" s="2">
        <f t="shared" ref="C470:C533" si="30">B470*$B$2</f>
        <v>0</v>
      </c>
      <c r="D470" s="2">
        <f t="shared" ref="D470:D533" si="31">D469+C469*$B$1</f>
        <v>67.050000000000011</v>
      </c>
    </row>
    <row r="471" spans="1:4" s="2" customFormat="1" x14ac:dyDescent="0.25">
      <c r="A471">
        <f t="shared" si="29"/>
        <v>9.0199999999998965</v>
      </c>
      <c r="B471" s="2">
        <f t="shared" si="28"/>
        <v>0</v>
      </c>
      <c r="C471" s="2">
        <f t="shared" si="30"/>
        <v>0</v>
      </c>
      <c r="D471" s="2">
        <f t="shared" si="31"/>
        <v>67.050000000000011</v>
      </c>
    </row>
    <row r="472" spans="1:4" s="2" customFormat="1" x14ac:dyDescent="0.25">
      <c r="A472">
        <f t="shared" si="29"/>
        <v>9.0399999999998961</v>
      </c>
      <c r="B472" s="2">
        <f t="shared" si="28"/>
        <v>0</v>
      </c>
      <c r="C472" s="2">
        <f t="shared" si="30"/>
        <v>0</v>
      </c>
      <c r="D472" s="2">
        <f t="shared" si="31"/>
        <v>67.050000000000011</v>
      </c>
    </row>
    <row r="473" spans="1:4" s="2" customFormat="1" x14ac:dyDescent="0.25">
      <c r="A473">
        <f t="shared" si="29"/>
        <v>9.0599999999998957</v>
      </c>
      <c r="B473" s="2">
        <f t="shared" si="28"/>
        <v>0</v>
      </c>
      <c r="C473" s="2">
        <f t="shared" si="30"/>
        <v>0</v>
      </c>
      <c r="D473" s="2">
        <f t="shared" si="31"/>
        <v>67.050000000000011</v>
      </c>
    </row>
    <row r="474" spans="1:4" s="2" customFormat="1" x14ac:dyDescent="0.25">
      <c r="A474">
        <f t="shared" si="29"/>
        <v>9.0799999999998953</v>
      </c>
      <c r="B474" s="2">
        <f t="shared" si="28"/>
        <v>0</v>
      </c>
      <c r="C474" s="2">
        <f t="shared" si="30"/>
        <v>0</v>
      </c>
      <c r="D474" s="2">
        <f t="shared" si="31"/>
        <v>67.050000000000011</v>
      </c>
    </row>
    <row r="475" spans="1:4" s="2" customFormat="1" x14ac:dyDescent="0.25">
      <c r="A475">
        <f t="shared" si="29"/>
        <v>9.0999999999998948</v>
      </c>
      <c r="B475" s="2">
        <f t="shared" si="28"/>
        <v>0</v>
      </c>
      <c r="C475" s="2">
        <f t="shared" si="30"/>
        <v>0</v>
      </c>
      <c r="D475" s="2">
        <f t="shared" si="31"/>
        <v>67.050000000000011</v>
      </c>
    </row>
    <row r="476" spans="1:4" s="2" customFormat="1" x14ac:dyDescent="0.25">
      <c r="A476">
        <f t="shared" si="29"/>
        <v>9.1199999999998944</v>
      </c>
      <c r="B476" s="2">
        <f t="shared" si="28"/>
        <v>0</v>
      </c>
      <c r="C476" s="2">
        <f t="shared" si="30"/>
        <v>0</v>
      </c>
      <c r="D476" s="2">
        <f t="shared" si="31"/>
        <v>67.050000000000011</v>
      </c>
    </row>
    <row r="477" spans="1:4" s="2" customFormat="1" x14ac:dyDescent="0.25">
      <c r="A477">
        <f t="shared" si="29"/>
        <v>9.139999999999894</v>
      </c>
      <c r="B477" s="2">
        <f t="shared" si="28"/>
        <v>0</v>
      </c>
      <c r="C477" s="2">
        <f t="shared" si="30"/>
        <v>0</v>
      </c>
      <c r="D477" s="2">
        <f t="shared" si="31"/>
        <v>67.050000000000011</v>
      </c>
    </row>
    <row r="478" spans="1:4" s="2" customFormat="1" x14ac:dyDescent="0.25">
      <c r="A478">
        <f t="shared" si="29"/>
        <v>9.1599999999998936</v>
      </c>
      <c r="B478" s="2">
        <f t="shared" si="28"/>
        <v>0</v>
      </c>
      <c r="C478" s="2">
        <f t="shared" si="30"/>
        <v>0</v>
      </c>
      <c r="D478" s="2">
        <f t="shared" si="31"/>
        <v>67.050000000000011</v>
      </c>
    </row>
    <row r="479" spans="1:4" s="2" customFormat="1" x14ac:dyDescent="0.25">
      <c r="A479">
        <f t="shared" si="29"/>
        <v>9.1799999999998931</v>
      </c>
      <c r="B479" s="2">
        <f t="shared" si="28"/>
        <v>0</v>
      </c>
      <c r="C479" s="2">
        <f t="shared" si="30"/>
        <v>0</v>
      </c>
      <c r="D479" s="2">
        <f t="shared" si="31"/>
        <v>67.050000000000011</v>
      </c>
    </row>
    <row r="480" spans="1:4" s="2" customFormat="1" x14ac:dyDescent="0.25">
      <c r="A480">
        <f t="shared" si="29"/>
        <v>9.1999999999998927</v>
      </c>
      <c r="B480" s="2">
        <f t="shared" si="28"/>
        <v>0</v>
      </c>
      <c r="C480" s="2">
        <f t="shared" si="30"/>
        <v>0</v>
      </c>
      <c r="D480" s="2">
        <f t="shared" si="31"/>
        <v>67.050000000000011</v>
      </c>
    </row>
    <row r="481" spans="1:4" s="2" customFormat="1" x14ac:dyDescent="0.25">
      <c r="A481">
        <f t="shared" si="29"/>
        <v>9.2199999999998923</v>
      </c>
      <c r="B481" s="2">
        <f t="shared" si="28"/>
        <v>0</v>
      </c>
      <c r="C481" s="2">
        <f t="shared" si="30"/>
        <v>0</v>
      </c>
      <c r="D481" s="2">
        <f t="shared" si="31"/>
        <v>67.050000000000011</v>
      </c>
    </row>
    <row r="482" spans="1:4" s="2" customFormat="1" x14ac:dyDescent="0.25">
      <c r="A482">
        <f t="shared" si="29"/>
        <v>9.2399999999998919</v>
      </c>
      <c r="B482" s="2">
        <f t="shared" si="28"/>
        <v>0</v>
      </c>
      <c r="C482" s="2">
        <f t="shared" si="30"/>
        <v>0</v>
      </c>
      <c r="D482" s="2">
        <f t="shared" si="31"/>
        <v>67.050000000000011</v>
      </c>
    </row>
    <row r="483" spans="1:4" s="2" customFormat="1" x14ac:dyDescent="0.25">
      <c r="A483">
        <f t="shared" si="29"/>
        <v>9.2599999999998914</v>
      </c>
      <c r="B483" s="2">
        <f t="shared" si="28"/>
        <v>0</v>
      </c>
      <c r="C483" s="2">
        <f t="shared" si="30"/>
        <v>0</v>
      </c>
      <c r="D483" s="2">
        <f t="shared" si="31"/>
        <v>67.050000000000011</v>
      </c>
    </row>
    <row r="484" spans="1:4" s="2" customFormat="1" x14ac:dyDescent="0.25">
      <c r="A484">
        <f t="shared" si="29"/>
        <v>9.279999999999891</v>
      </c>
      <c r="B484" s="2">
        <f t="shared" si="28"/>
        <v>0</v>
      </c>
      <c r="C484" s="2">
        <f t="shared" si="30"/>
        <v>0</v>
      </c>
      <c r="D484" s="2">
        <f t="shared" si="31"/>
        <v>67.050000000000011</v>
      </c>
    </row>
    <row r="485" spans="1:4" s="2" customFormat="1" x14ac:dyDescent="0.25">
      <c r="A485">
        <f t="shared" si="29"/>
        <v>9.2999999999998906</v>
      </c>
      <c r="B485" s="2">
        <f t="shared" si="28"/>
        <v>0</v>
      </c>
      <c r="C485" s="2">
        <f t="shared" si="30"/>
        <v>0</v>
      </c>
      <c r="D485" s="2">
        <f t="shared" si="31"/>
        <v>67.050000000000011</v>
      </c>
    </row>
    <row r="486" spans="1:4" s="2" customFormat="1" x14ac:dyDescent="0.25">
      <c r="A486">
        <f t="shared" si="29"/>
        <v>9.3199999999998902</v>
      </c>
      <c r="B486" s="2">
        <f t="shared" si="28"/>
        <v>0</v>
      </c>
      <c r="C486" s="2">
        <f t="shared" si="30"/>
        <v>0</v>
      </c>
      <c r="D486" s="2">
        <f t="shared" si="31"/>
        <v>67.050000000000011</v>
      </c>
    </row>
    <row r="487" spans="1:4" s="2" customFormat="1" x14ac:dyDescent="0.25">
      <c r="A487">
        <f t="shared" si="29"/>
        <v>9.3399999999998897</v>
      </c>
      <c r="B487" s="2">
        <f t="shared" si="28"/>
        <v>0</v>
      </c>
      <c r="C487" s="2">
        <f t="shared" si="30"/>
        <v>0</v>
      </c>
      <c r="D487" s="2">
        <f t="shared" si="31"/>
        <v>67.050000000000011</v>
      </c>
    </row>
    <row r="488" spans="1:4" s="2" customFormat="1" x14ac:dyDescent="0.25">
      <c r="A488">
        <f t="shared" si="29"/>
        <v>9.3599999999998893</v>
      </c>
      <c r="B488" s="2">
        <f t="shared" si="28"/>
        <v>0</v>
      </c>
      <c r="C488" s="2">
        <f t="shared" si="30"/>
        <v>0</v>
      </c>
      <c r="D488" s="2">
        <f t="shared" si="31"/>
        <v>67.050000000000011</v>
      </c>
    </row>
    <row r="489" spans="1:4" s="2" customFormat="1" x14ac:dyDescent="0.25">
      <c r="A489">
        <f t="shared" si="29"/>
        <v>9.3799999999998889</v>
      </c>
      <c r="B489" s="2">
        <f t="shared" si="28"/>
        <v>0</v>
      </c>
      <c r="C489" s="2">
        <f t="shared" si="30"/>
        <v>0</v>
      </c>
      <c r="D489" s="2">
        <f t="shared" si="31"/>
        <v>67.050000000000011</v>
      </c>
    </row>
    <row r="490" spans="1:4" s="2" customFormat="1" x14ac:dyDescent="0.25">
      <c r="A490">
        <f t="shared" si="29"/>
        <v>9.3999999999998884</v>
      </c>
      <c r="B490" s="2">
        <f t="shared" si="28"/>
        <v>0</v>
      </c>
      <c r="C490" s="2">
        <f t="shared" si="30"/>
        <v>0</v>
      </c>
      <c r="D490" s="2">
        <f t="shared" si="31"/>
        <v>67.050000000000011</v>
      </c>
    </row>
    <row r="491" spans="1:4" s="2" customFormat="1" x14ac:dyDescent="0.25">
      <c r="A491">
        <f t="shared" si="29"/>
        <v>9.419999999999888</v>
      </c>
      <c r="B491" s="2">
        <f t="shared" si="28"/>
        <v>0</v>
      </c>
      <c r="C491" s="2">
        <f t="shared" si="30"/>
        <v>0</v>
      </c>
      <c r="D491" s="2">
        <f t="shared" si="31"/>
        <v>67.050000000000011</v>
      </c>
    </row>
    <row r="492" spans="1:4" s="2" customFormat="1" x14ac:dyDescent="0.25">
      <c r="A492">
        <f t="shared" si="29"/>
        <v>9.4399999999998876</v>
      </c>
      <c r="B492" s="2">
        <f t="shared" si="28"/>
        <v>0</v>
      </c>
      <c r="C492" s="2">
        <f t="shared" si="30"/>
        <v>0</v>
      </c>
      <c r="D492" s="2">
        <f t="shared" si="31"/>
        <v>67.050000000000011</v>
      </c>
    </row>
    <row r="493" spans="1:4" s="2" customFormat="1" x14ac:dyDescent="0.25">
      <c r="A493">
        <f t="shared" si="29"/>
        <v>9.4599999999998872</v>
      </c>
      <c r="B493" s="2">
        <f t="shared" si="28"/>
        <v>0</v>
      </c>
      <c r="C493" s="2">
        <f t="shared" si="30"/>
        <v>0</v>
      </c>
      <c r="D493" s="2">
        <f t="shared" si="31"/>
        <v>67.050000000000011</v>
      </c>
    </row>
    <row r="494" spans="1:4" s="2" customFormat="1" x14ac:dyDescent="0.25">
      <c r="A494">
        <f t="shared" si="29"/>
        <v>9.4799999999998867</v>
      </c>
      <c r="B494" s="2">
        <f t="shared" si="28"/>
        <v>0</v>
      </c>
      <c r="C494" s="2">
        <f t="shared" si="30"/>
        <v>0</v>
      </c>
      <c r="D494" s="2">
        <f t="shared" si="31"/>
        <v>67.050000000000011</v>
      </c>
    </row>
    <row r="495" spans="1:4" s="2" customFormat="1" x14ac:dyDescent="0.25">
      <c r="A495">
        <f t="shared" si="29"/>
        <v>9.4999999999998863</v>
      </c>
      <c r="B495" s="2">
        <f t="shared" si="28"/>
        <v>0</v>
      </c>
      <c r="C495" s="2">
        <f t="shared" si="30"/>
        <v>0</v>
      </c>
      <c r="D495" s="2">
        <f t="shared" si="31"/>
        <v>67.050000000000011</v>
      </c>
    </row>
    <row r="496" spans="1:4" s="2" customFormat="1" x14ac:dyDescent="0.25">
      <c r="A496">
        <f t="shared" si="29"/>
        <v>9.5199999999998859</v>
      </c>
      <c r="B496" s="2">
        <f t="shared" si="28"/>
        <v>0</v>
      </c>
      <c r="C496" s="2">
        <f t="shared" si="30"/>
        <v>0</v>
      </c>
      <c r="D496" s="2">
        <f t="shared" si="31"/>
        <v>67.050000000000011</v>
      </c>
    </row>
    <row r="497" spans="1:4" s="2" customFormat="1" x14ac:dyDescent="0.25">
      <c r="A497">
        <f t="shared" si="29"/>
        <v>9.5399999999998855</v>
      </c>
      <c r="B497" s="2">
        <f t="shared" si="28"/>
        <v>0</v>
      </c>
      <c r="C497" s="2">
        <f t="shared" si="30"/>
        <v>0</v>
      </c>
      <c r="D497" s="2">
        <f t="shared" si="31"/>
        <v>67.050000000000011</v>
      </c>
    </row>
    <row r="498" spans="1:4" s="2" customFormat="1" x14ac:dyDescent="0.25">
      <c r="A498">
        <f t="shared" si="29"/>
        <v>9.559999999999885</v>
      </c>
      <c r="B498" s="2">
        <f t="shared" si="28"/>
        <v>0</v>
      </c>
      <c r="C498" s="2">
        <f t="shared" si="30"/>
        <v>0</v>
      </c>
      <c r="D498" s="2">
        <f t="shared" si="31"/>
        <v>67.050000000000011</v>
      </c>
    </row>
    <row r="499" spans="1:4" s="2" customFormat="1" x14ac:dyDescent="0.25">
      <c r="A499">
        <f t="shared" si="29"/>
        <v>9.5799999999998846</v>
      </c>
      <c r="B499" s="2">
        <f t="shared" si="28"/>
        <v>0</v>
      </c>
      <c r="C499" s="2">
        <f t="shared" si="30"/>
        <v>0</v>
      </c>
      <c r="D499" s="2">
        <f t="shared" si="31"/>
        <v>67.050000000000011</v>
      </c>
    </row>
    <row r="500" spans="1:4" s="2" customFormat="1" x14ac:dyDescent="0.25">
      <c r="A500">
        <f t="shared" si="29"/>
        <v>9.5999999999998842</v>
      </c>
      <c r="B500" s="2">
        <f t="shared" si="28"/>
        <v>0</v>
      </c>
      <c r="C500" s="2">
        <f t="shared" si="30"/>
        <v>0</v>
      </c>
      <c r="D500" s="2">
        <f t="shared" si="31"/>
        <v>67.050000000000011</v>
      </c>
    </row>
    <row r="501" spans="1:4" s="2" customFormat="1" x14ac:dyDescent="0.25">
      <c r="A501">
        <f t="shared" si="29"/>
        <v>9.6199999999998838</v>
      </c>
      <c r="B501" s="2">
        <f t="shared" si="28"/>
        <v>0</v>
      </c>
      <c r="C501" s="2">
        <f t="shared" si="30"/>
        <v>0</v>
      </c>
      <c r="D501" s="2">
        <f t="shared" si="31"/>
        <v>67.050000000000011</v>
      </c>
    </row>
    <row r="502" spans="1:4" s="2" customFormat="1" x14ac:dyDescent="0.25">
      <c r="A502">
        <f t="shared" si="29"/>
        <v>9.6399999999998833</v>
      </c>
      <c r="B502" s="2">
        <f t="shared" si="28"/>
        <v>0</v>
      </c>
      <c r="C502" s="2">
        <f t="shared" si="30"/>
        <v>0</v>
      </c>
      <c r="D502" s="2">
        <f t="shared" si="31"/>
        <v>67.050000000000011</v>
      </c>
    </row>
    <row r="503" spans="1:4" s="2" customFormat="1" x14ac:dyDescent="0.25">
      <c r="A503">
        <f t="shared" si="29"/>
        <v>9.6599999999998829</v>
      </c>
      <c r="B503" s="2">
        <f t="shared" si="28"/>
        <v>0</v>
      </c>
      <c r="C503" s="2">
        <f t="shared" si="30"/>
        <v>0</v>
      </c>
      <c r="D503" s="2">
        <f t="shared" si="31"/>
        <v>67.050000000000011</v>
      </c>
    </row>
    <row r="504" spans="1:4" s="2" customFormat="1" x14ac:dyDescent="0.25">
      <c r="A504">
        <f t="shared" si="29"/>
        <v>9.6799999999998825</v>
      </c>
      <c r="B504" s="2">
        <f t="shared" si="28"/>
        <v>0</v>
      </c>
      <c r="C504" s="2">
        <f t="shared" si="30"/>
        <v>0</v>
      </c>
      <c r="D504" s="2">
        <f t="shared" si="31"/>
        <v>67.050000000000011</v>
      </c>
    </row>
    <row r="505" spans="1:4" s="2" customFormat="1" x14ac:dyDescent="0.25">
      <c r="A505">
        <f t="shared" si="29"/>
        <v>9.699999999999882</v>
      </c>
      <c r="B505" s="2">
        <f t="shared" si="28"/>
        <v>0</v>
      </c>
      <c r="C505" s="2">
        <f t="shared" si="30"/>
        <v>0</v>
      </c>
      <c r="D505" s="2">
        <f t="shared" si="31"/>
        <v>67.050000000000011</v>
      </c>
    </row>
    <row r="506" spans="1:4" s="2" customFormat="1" x14ac:dyDescent="0.25">
      <c r="A506">
        <f t="shared" si="29"/>
        <v>9.7199999999998816</v>
      </c>
      <c r="B506" s="2">
        <f t="shared" si="28"/>
        <v>0</v>
      </c>
      <c r="C506" s="2">
        <f t="shared" si="30"/>
        <v>0</v>
      </c>
      <c r="D506" s="2">
        <f t="shared" si="31"/>
        <v>67.050000000000011</v>
      </c>
    </row>
    <row r="507" spans="1:4" s="2" customFormat="1" x14ac:dyDescent="0.25">
      <c r="A507">
        <f t="shared" si="29"/>
        <v>9.7399999999998812</v>
      </c>
      <c r="B507" s="2">
        <f t="shared" si="28"/>
        <v>0</v>
      </c>
      <c r="C507" s="2">
        <f t="shared" si="30"/>
        <v>0</v>
      </c>
      <c r="D507" s="2">
        <f t="shared" si="31"/>
        <v>67.050000000000011</v>
      </c>
    </row>
    <row r="508" spans="1:4" s="2" customFormat="1" x14ac:dyDescent="0.25">
      <c r="A508">
        <f t="shared" si="29"/>
        <v>9.7599999999998808</v>
      </c>
      <c r="B508" s="2">
        <f t="shared" si="28"/>
        <v>0</v>
      </c>
      <c r="C508" s="2">
        <f t="shared" si="30"/>
        <v>0</v>
      </c>
      <c r="D508" s="2">
        <f t="shared" si="31"/>
        <v>67.050000000000011</v>
      </c>
    </row>
    <row r="509" spans="1:4" s="2" customFormat="1" x14ac:dyDescent="0.25">
      <c r="A509">
        <f t="shared" si="29"/>
        <v>9.7799999999998803</v>
      </c>
      <c r="B509" s="2">
        <f t="shared" si="28"/>
        <v>0</v>
      </c>
      <c r="C509" s="2">
        <f t="shared" si="30"/>
        <v>0</v>
      </c>
      <c r="D509" s="2">
        <f t="shared" si="31"/>
        <v>67.050000000000011</v>
      </c>
    </row>
    <row r="510" spans="1:4" s="2" customFormat="1" x14ac:dyDescent="0.25">
      <c r="A510">
        <f t="shared" si="29"/>
        <v>9.7999999999998799</v>
      </c>
      <c r="B510" s="2">
        <f t="shared" si="28"/>
        <v>0</v>
      </c>
      <c r="C510" s="2">
        <f t="shared" si="30"/>
        <v>0</v>
      </c>
      <c r="D510" s="2">
        <f t="shared" si="31"/>
        <v>67.050000000000011</v>
      </c>
    </row>
    <row r="511" spans="1:4" s="2" customFormat="1" x14ac:dyDescent="0.25">
      <c r="A511">
        <f t="shared" si="29"/>
        <v>9.8199999999998795</v>
      </c>
      <c r="B511" s="2">
        <f t="shared" si="28"/>
        <v>0</v>
      </c>
      <c r="C511" s="2">
        <f t="shared" si="30"/>
        <v>0</v>
      </c>
      <c r="D511" s="2">
        <f t="shared" si="31"/>
        <v>67.050000000000011</v>
      </c>
    </row>
    <row r="512" spans="1:4" s="2" customFormat="1" x14ac:dyDescent="0.25">
      <c r="A512">
        <f t="shared" si="29"/>
        <v>9.8399999999998791</v>
      </c>
      <c r="B512" s="2">
        <f t="shared" si="28"/>
        <v>0</v>
      </c>
      <c r="C512" s="2">
        <f t="shared" si="30"/>
        <v>0</v>
      </c>
      <c r="D512" s="2">
        <f t="shared" si="31"/>
        <v>67.050000000000011</v>
      </c>
    </row>
    <row r="513" spans="1:4" s="2" customFormat="1" x14ac:dyDescent="0.25">
      <c r="A513">
        <f t="shared" si="29"/>
        <v>9.8599999999998786</v>
      </c>
      <c r="B513" s="2">
        <f t="shared" si="28"/>
        <v>0</v>
      </c>
      <c r="C513" s="2">
        <f t="shared" si="30"/>
        <v>0</v>
      </c>
      <c r="D513" s="2">
        <f t="shared" si="31"/>
        <v>67.050000000000011</v>
      </c>
    </row>
    <row r="514" spans="1:4" s="2" customFormat="1" x14ac:dyDescent="0.25">
      <c r="A514">
        <f t="shared" si="29"/>
        <v>9.8799999999998782</v>
      </c>
      <c r="B514" s="2">
        <f t="shared" si="28"/>
        <v>0</v>
      </c>
      <c r="C514" s="2">
        <f t="shared" si="30"/>
        <v>0</v>
      </c>
      <c r="D514" s="2">
        <f t="shared" si="31"/>
        <v>67.050000000000011</v>
      </c>
    </row>
    <row r="515" spans="1:4" s="2" customFormat="1" x14ac:dyDescent="0.25">
      <c r="A515">
        <f t="shared" si="29"/>
        <v>9.8999999999998778</v>
      </c>
      <c r="B515" s="2">
        <f t="shared" si="28"/>
        <v>0</v>
      </c>
      <c r="C515" s="2">
        <f t="shared" si="30"/>
        <v>0</v>
      </c>
      <c r="D515" s="2">
        <f t="shared" si="31"/>
        <v>67.050000000000011</v>
      </c>
    </row>
    <row r="516" spans="1:4" s="2" customFormat="1" x14ac:dyDescent="0.25">
      <c r="A516">
        <f t="shared" si="29"/>
        <v>9.9199999999998774</v>
      </c>
      <c r="B516" s="2">
        <f t="shared" si="28"/>
        <v>0</v>
      </c>
      <c r="C516" s="2">
        <f t="shared" si="30"/>
        <v>0</v>
      </c>
      <c r="D516" s="2">
        <f t="shared" si="31"/>
        <v>67.050000000000011</v>
      </c>
    </row>
    <row r="517" spans="1:4" s="2" customFormat="1" x14ac:dyDescent="0.25">
      <c r="A517">
        <f t="shared" si="29"/>
        <v>9.9399999999998769</v>
      </c>
      <c r="B517" s="2">
        <f t="shared" si="28"/>
        <v>0</v>
      </c>
      <c r="C517" s="2">
        <f t="shared" si="30"/>
        <v>0</v>
      </c>
      <c r="D517" s="2">
        <f t="shared" si="31"/>
        <v>67.050000000000011</v>
      </c>
    </row>
    <row r="518" spans="1:4" s="2" customFormat="1" x14ac:dyDescent="0.25">
      <c r="A518">
        <f t="shared" si="29"/>
        <v>9.9599999999998765</v>
      </c>
      <c r="B518" s="2">
        <f t="shared" si="28"/>
        <v>0</v>
      </c>
      <c r="C518" s="2">
        <f t="shared" si="30"/>
        <v>0</v>
      </c>
      <c r="D518" s="2">
        <f t="shared" si="31"/>
        <v>67.050000000000011</v>
      </c>
    </row>
    <row r="519" spans="1:4" s="2" customFormat="1" x14ac:dyDescent="0.25">
      <c r="A519">
        <f t="shared" si="29"/>
        <v>9.9799999999998761</v>
      </c>
      <c r="B519" s="2">
        <f t="shared" si="28"/>
        <v>0</v>
      </c>
      <c r="C519" s="2">
        <f t="shared" si="30"/>
        <v>0</v>
      </c>
      <c r="D519" s="2">
        <f t="shared" si="31"/>
        <v>67.050000000000011</v>
      </c>
    </row>
    <row r="520" spans="1:4" s="2" customFormat="1" x14ac:dyDescent="0.25">
      <c r="A520">
        <f t="shared" si="29"/>
        <v>9.9999999999998757</v>
      </c>
      <c r="B520" s="2">
        <f t="shared" si="28"/>
        <v>0</v>
      </c>
      <c r="C520" s="2">
        <f t="shared" si="30"/>
        <v>0</v>
      </c>
      <c r="D520" s="2">
        <f t="shared" si="31"/>
        <v>67.050000000000011</v>
      </c>
    </row>
    <row r="521" spans="1:4" s="2" customFormat="1" x14ac:dyDescent="0.25">
      <c r="A521">
        <f t="shared" si="29"/>
        <v>10.019999999999875</v>
      </c>
      <c r="B521" s="2">
        <f t="shared" si="28"/>
        <v>0</v>
      </c>
      <c r="C521" s="2">
        <f t="shared" si="30"/>
        <v>0</v>
      </c>
      <c r="D521" s="2">
        <f t="shared" si="31"/>
        <v>67.050000000000011</v>
      </c>
    </row>
    <row r="522" spans="1:4" s="2" customFormat="1" x14ac:dyDescent="0.25">
      <c r="A522">
        <f t="shared" si="29"/>
        <v>10.039999999999875</v>
      </c>
      <c r="B522" s="2">
        <f t="shared" si="28"/>
        <v>0</v>
      </c>
      <c r="C522" s="2">
        <f t="shared" si="30"/>
        <v>0</v>
      </c>
      <c r="D522" s="2">
        <f t="shared" si="31"/>
        <v>67.050000000000011</v>
      </c>
    </row>
    <row r="523" spans="1:4" s="2" customFormat="1" x14ac:dyDescent="0.25">
      <c r="A523">
        <f t="shared" si="29"/>
        <v>10.059999999999874</v>
      </c>
      <c r="B523" s="2">
        <f t="shared" si="28"/>
        <v>0</v>
      </c>
      <c r="C523" s="2">
        <f t="shared" si="30"/>
        <v>0</v>
      </c>
      <c r="D523" s="2">
        <f t="shared" si="31"/>
        <v>67.050000000000011</v>
      </c>
    </row>
    <row r="524" spans="1:4" s="2" customFormat="1" x14ac:dyDescent="0.25">
      <c r="A524">
        <f t="shared" si="29"/>
        <v>10.079999999999874</v>
      </c>
      <c r="B524" s="2">
        <f t="shared" si="28"/>
        <v>0</v>
      </c>
      <c r="C524" s="2">
        <f t="shared" si="30"/>
        <v>0</v>
      </c>
      <c r="D524" s="2">
        <f t="shared" si="31"/>
        <v>67.050000000000011</v>
      </c>
    </row>
    <row r="525" spans="1:4" s="2" customFormat="1" x14ac:dyDescent="0.25">
      <c r="A525">
        <f t="shared" si="29"/>
        <v>10.099999999999874</v>
      </c>
      <c r="B525" s="2">
        <f t="shared" si="28"/>
        <v>0</v>
      </c>
      <c r="C525" s="2">
        <f t="shared" si="30"/>
        <v>0</v>
      </c>
      <c r="D525" s="2">
        <f t="shared" si="31"/>
        <v>67.050000000000011</v>
      </c>
    </row>
    <row r="526" spans="1:4" s="2" customFormat="1" x14ac:dyDescent="0.25">
      <c r="A526">
        <f t="shared" si="29"/>
        <v>10.119999999999873</v>
      </c>
      <c r="B526" s="2">
        <f t="shared" si="28"/>
        <v>0</v>
      </c>
      <c r="C526" s="2">
        <f t="shared" si="30"/>
        <v>0</v>
      </c>
      <c r="D526" s="2">
        <f t="shared" si="31"/>
        <v>67.050000000000011</v>
      </c>
    </row>
    <row r="527" spans="1:4" s="2" customFormat="1" x14ac:dyDescent="0.25">
      <c r="A527">
        <f t="shared" si="29"/>
        <v>10.139999999999873</v>
      </c>
      <c r="B527" s="2">
        <f t="shared" si="28"/>
        <v>0</v>
      </c>
      <c r="C527" s="2">
        <f t="shared" si="30"/>
        <v>0</v>
      </c>
      <c r="D527" s="2">
        <f t="shared" si="31"/>
        <v>67.050000000000011</v>
      </c>
    </row>
    <row r="528" spans="1:4" s="2" customFormat="1" x14ac:dyDescent="0.25">
      <c r="A528">
        <f t="shared" si="29"/>
        <v>10.159999999999872</v>
      </c>
      <c r="B528" s="2">
        <f t="shared" si="28"/>
        <v>0</v>
      </c>
      <c r="C528" s="2">
        <f t="shared" si="30"/>
        <v>0</v>
      </c>
      <c r="D528" s="2">
        <f t="shared" si="31"/>
        <v>67.050000000000011</v>
      </c>
    </row>
    <row r="529" spans="1:4" s="2" customFormat="1" x14ac:dyDescent="0.25">
      <c r="A529">
        <f t="shared" si="29"/>
        <v>10.179999999999872</v>
      </c>
      <c r="B529" s="2">
        <f t="shared" si="28"/>
        <v>0</v>
      </c>
      <c r="C529" s="2">
        <f t="shared" si="30"/>
        <v>0</v>
      </c>
      <c r="D529" s="2">
        <f t="shared" si="31"/>
        <v>67.050000000000011</v>
      </c>
    </row>
    <row r="530" spans="1:4" s="2" customFormat="1" x14ac:dyDescent="0.25">
      <c r="A530">
        <f t="shared" si="29"/>
        <v>10.199999999999871</v>
      </c>
      <c r="B530" s="2">
        <f t="shared" si="28"/>
        <v>0</v>
      </c>
      <c r="C530" s="2">
        <f t="shared" si="30"/>
        <v>0</v>
      </c>
      <c r="D530" s="2">
        <f t="shared" si="31"/>
        <v>67.050000000000011</v>
      </c>
    </row>
    <row r="531" spans="1:4" s="2" customFormat="1" x14ac:dyDescent="0.25">
      <c r="A531">
        <f t="shared" si="29"/>
        <v>10.219999999999871</v>
      </c>
      <c r="B531" s="2">
        <f t="shared" si="28"/>
        <v>0</v>
      </c>
      <c r="C531" s="2">
        <f t="shared" si="30"/>
        <v>0</v>
      </c>
      <c r="D531" s="2">
        <f t="shared" si="31"/>
        <v>67.050000000000011</v>
      </c>
    </row>
    <row r="532" spans="1:4" s="2" customFormat="1" x14ac:dyDescent="0.25">
      <c r="A532">
        <f t="shared" si="29"/>
        <v>10.239999999999871</v>
      </c>
      <c r="B532" s="2">
        <f t="shared" si="28"/>
        <v>0</v>
      </c>
      <c r="C532" s="2">
        <f t="shared" si="30"/>
        <v>0</v>
      </c>
      <c r="D532" s="2">
        <f t="shared" si="31"/>
        <v>67.050000000000011</v>
      </c>
    </row>
    <row r="533" spans="1:4" s="2" customFormat="1" x14ac:dyDescent="0.25">
      <c r="A533">
        <f t="shared" si="29"/>
        <v>10.25999999999987</v>
      </c>
      <c r="B533" s="2">
        <f t="shared" ref="B533:B596" si="32">MAX(0,IF(A533&lt;$B$14,B532+$B$8,IF(AND(A533&gt;=$B$14,A533&lt;=$B$15),$B$11/$B$2,B532-$B$8)))</f>
        <v>0</v>
      </c>
      <c r="C533" s="2">
        <f t="shared" si="30"/>
        <v>0</v>
      </c>
      <c r="D533" s="2">
        <f t="shared" si="31"/>
        <v>67.050000000000011</v>
      </c>
    </row>
    <row r="534" spans="1:4" s="2" customFormat="1" x14ac:dyDescent="0.25">
      <c r="A534">
        <f t="shared" ref="A534:A597" si="33">A533+$B$1</f>
        <v>10.27999999999987</v>
      </c>
      <c r="B534" s="2">
        <f t="shared" si="32"/>
        <v>0</v>
      </c>
      <c r="C534" s="2">
        <f t="shared" ref="C534:C597" si="34">B534*$B$2</f>
        <v>0</v>
      </c>
      <c r="D534" s="2">
        <f t="shared" ref="D534:D597" si="35">D533+C533*$B$1</f>
        <v>67.050000000000011</v>
      </c>
    </row>
    <row r="535" spans="1:4" s="2" customFormat="1" x14ac:dyDescent="0.25">
      <c r="A535">
        <f t="shared" si="33"/>
        <v>10.299999999999869</v>
      </c>
      <c r="B535" s="2">
        <f t="shared" si="32"/>
        <v>0</v>
      </c>
      <c r="C535" s="2">
        <f t="shared" si="34"/>
        <v>0</v>
      </c>
      <c r="D535" s="2">
        <f t="shared" si="35"/>
        <v>67.050000000000011</v>
      </c>
    </row>
    <row r="536" spans="1:4" s="2" customFormat="1" x14ac:dyDescent="0.25">
      <c r="A536">
        <f t="shared" si="33"/>
        <v>10.319999999999869</v>
      </c>
      <c r="B536" s="2">
        <f t="shared" si="32"/>
        <v>0</v>
      </c>
      <c r="C536" s="2">
        <f t="shared" si="34"/>
        <v>0</v>
      </c>
      <c r="D536" s="2">
        <f t="shared" si="35"/>
        <v>67.050000000000011</v>
      </c>
    </row>
    <row r="537" spans="1:4" s="2" customFormat="1" x14ac:dyDescent="0.25">
      <c r="A537">
        <f t="shared" si="33"/>
        <v>10.339999999999868</v>
      </c>
      <c r="B537" s="2">
        <f t="shared" si="32"/>
        <v>0</v>
      </c>
      <c r="C537" s="2">
        <f t="shared" si="34"/>
        <v>0</v>
      </c>
      <c r="D537" s="2">
        <f t="shared" si="35"/>
        <v>67.050000000000011</v>
      </c>
    </row>
    <row r="538" spans="1:4" s="2" customFormat="1" x14ac:dyDescent="0.25">
      <c r="A538">
        <f t="shared" si="33"/>
        <v>10.359999999999868</v>
      </c>
      <c r="B538" s="2">
        <f t="shared" si="32"/>
        <v>0</v>
      </c>
      <c r="C538" s="2">
        <f t="shared" si="34"/>
        <v>0</v>
      </c>
      <c r="D538" s="2">
        <f t="shared" si="35"/>
        <v>67.050000000000011</v>
      </c>
    </row>
    <row r="539" spans="1:4" s="2" customFormat="1" x14ac:dyDescent="0.25">
      <c r="A539">
        <f t="shared" si="33"/>
        <v>10.379999999999868</v>
      </c>
      <c r="B539" s="2">
        <f t="shared" si="32"/>
        <v>0</v>
      </c>
      <c r="C539" s="2">
        <f t="shared" si="34"/>
        <v>0</v>
      </c>
      <c r="D539" s="2">
        <f t="shared" si="35"/>
        <v>67.050000000000011</v>
      </c>
    </row>
    <row r="540" spans="1:4" s="2" customFormat="1" x14ac:dyDescent="0.25">
      <c r="A540">
        <f t="shared" si="33"/>
        <v>10.399999999999867</v>
      </c>
      <c r="B540" s="2">
        <f t="shared" si="32"/>
        <v>0</v>
      </c>
      <c r="C540" s="2">
        <f t="shared" si="34"/>
        <v>0</v>
      </c>
      <c r="D540" s="2">
        <f t="shared" si="35"/>
        <v>67.050000000000011</v>
      </c>
    </row>
    <row r="541" spans="1:4" s="2" customFormat="1" x14ac:dyDescent="0.25">
      <c r="A541">
        <f t="shared" si="33"/>
        <v>10.419999999999867</v>
      </c>
      <c r="B541" s="2">
        <f t="shared" si="32"/>
        <v>0</v>
      </c>
      <c r="C541" s="2">
        <f t="shared" si="34"/>
        <v>0</v>
      </c>
      <c r="D541" s="2">
        <f t="shared" si="35"/>
        <v>67.050000000000011</v>
      </c>
    </row>
    <row r="542" spans="1:4" s="2" customFormat="1" x14ac:dyDescent="0.25">
      <c r="A542">
        <f t="shared" si="33"/>
        <v>10.439999999999866</v>
      </c>
      <c r="B542" s="2">
        <f t="shared" si="32"/>
        <v>0</v>
      </c>
      <c r="C542" s="2">
        <f t="shared" si="34"/>
        <v>0</v>
      </c>
      <c r="D542" s="2">
        <f t="shared" si="35"/>
        <v>67.050000000000011</v>
      </c>
    </row>
    <row r="543" spans="1:4" s="2" customFormat="1" x14ac:dyDescent="0.25">
      <c r="A543">
        <f t="shared" si="33"/>
        <v>10.459999999999866</v>
      </c>
      <c r="B543" s="2">
        <f t="shared" si="32"/>
        <v>0</v>
      </c>
      <c r="C543" s="2">
        <f t="shared" si="34"/>
        <v>0</v>
      </c>
      <c r="D543" s="2">
        <f t="shared" si="35"/>
        <v>67.050000000000011</v>
      </c>
    </row>
    <row r="544" spans="1:4" s="2" customFormat="1" x14ac:dyDescent="0.25">
      <c r="A544">
        <f t="shared" si="33"/>
        <v>10.479999999999865</v>
      </c>
      <c r="B544" s="2">
        <f t="shared" si="32"/>
        <v>0</v>
      </c>
      <c r="C544" s="2">
        <f t="shared" si="34"/>
        <v>0</v>
      </c>
      <c r="D544" s="2">
        <f t="shared" si="35"/>
        <v>67.050000000000011</v>
      </c>
    </row>
    <row r="545" spans="1:4" s="2" customFormat="1" x14ac:dyDescent="0.25">
      <c r="A545">
        <f t="shared" si="33"/>
        <v>10.499999999999865</v>
      </c>
      <c r="B545" s="2">
        <f t="shared" si="32"/>
        <v>0</v>
      </c>
      <c r="C545" s="2">
        <f t="shared" si="34"/>
        <v>0</v>
      </c>
      <c r="D545" s="2">
        <f t="shared" si="35"/>
        <v>67.050000000000011</v>
      </c>
    </row>
    <row r="546" spans="1:4" s="2" customFormat="1" x14ac:dyDescent="0.25">
      <c r="A546">
        <f t="shared" si="33"/>
        <v>10.519999999999865</v>
      </c>
      <c r="B546" s="2">
        <f t="shared" si="32"/>
        <v>0</v>
      </c>
      <c r="C546" s="2">
        <f t="shared" si="34"/>
        <v>0</v>
      </c>
      <c r="D546" s="2">
        <f t="shared" si="35"/>
        <v>67.050000000000011</v>
      </c>
    </row>
    <row r="547" spans="1:4" s="2" customFormat="1" x14ac:dyDescent="0.25">
      <c r="A547">
        <f t="shared" si="33"/>
        <v>10.539999999999864</v>
      </c>
      <c r="B547" s="2">
        <f t="shared" si="32"/>
        <v>0</v>
      </c>
      <c r="C547" s="2">
        <f t="shared" si="34"/>
        <v>0</v>
      </c>
      <c r="D547" s="2">
        <f t="shared" si="35"/>
        <v>67.050000000000011</v>
      </c>
    </row>
    <row r="548" spans="1:4" s="2" customFormat="1" x14ac:dyDescent="0.25">
      <c r="A548">
        <f t="shared" si="33"/>
        <v>10.559999999999864</v>
      </c>
      <c r="B548" s="2">
        <f t="shared" si="32"/>
        <v>0</v>
      </c>
      <c r="C548" s="2">
        <f t="shared" si="34"/>
        <v>0</v>
      </c>
      <c r="D548" s="2">
        <f t="shared" si="35"/>
        <v>67.050000000000011</v>
      </c>
    </row>
    <row r="549" spans="1:4" s="2" customFormat="1" x14ac:dyDescent="0.25">
      <c r="A549">
        <f t="shared" si="33"/>
        <v>10.579999999999863</v>
      </c>
      <c r="B549" s="2">
        <f t="shared" si="32"/>
        <v>0</v>
      </c>
      <c r="C549" s="2">
        <f t="shared" si="34"/>
        <v>0</v>
      </c>
      <c r="D549" s="2">
        <f t="shared" si="35"/>
        <v>67.050000000000011</v>
      </c>
    </row>
    <row r="550" spans="1:4" s="2" customFormat="1" x14ac:dyDescent="0.25">
      <c r="A550">
        <f t="shared" si="33"/>
        <v>10.599999999999863</v>
      </c>
      <c r="B550" s="2">
        <f t="shared" si="32"/>
        <v>0</v>
      </c>
      <c r="C550" s="2">
        <f t="shared" si="34"/>
        <v>0</v>
      </c>
      <c r="D550" s="2">
        <f t="shared" si="35"/>
        <v>67.050000000000011</v>
      </c>
    </row>
    <row r="551" spans="1:4" s="2" customFormat="1" x14ac:dyDescent="0.25">
      <c r="A551">
        <f t="shared" si="33"/>
        <v>10.619999999999862</v>
      </c>
      <c r="B551" s="2">
        <f t="shared" si="32"/>
        <v>0</v>
      </c>
      <c r="C551" s="2">
        <f t="shared" si="34"/>
        <v>0</v>
      </c>
      <c r="D551" s="2">
        <f t="shared" si="35"/>
        <v>67.050000000000011</v>
      </c>
    </row>
    <row r="552" spans="1:4" s="2" customFormat="1" x14ac:dyDescent="0.25">
      <c r="A552">
        <f t="shared" si="33"/>
        <v>10.639999999999862</v>
      </c>
      <c r="B552" s="2">
        <f t="shared" si="32"/>
        <v>0</v>
      </c>
      <c r="C552" s="2">
        <f t="shared" si="34"/>
        <v>0</v>
      </c>
      <c r="D552" s="2">
        <f t="shared" si="35"/>
        <v>67.050000000000011</v>
      </c>
    </row>
    <row r="553" spans="1:4" s="2" customFormat="1" x14ac:dyDescent="0.25">
      <c r="A553">
        <f t="shared" si="33"/>
        <v>10.659999999999862</v>
      </c>
      <c r="B553" s="2">
        <f t="shared" si="32"/>
        <v>0</v>
      </c>
      <c r="C553" s="2">
        <f t="shared" si="34"/>
        <v>0</v>
      </c>
      <c r="D553" s="2">
        <f t="shared" si="35"/>
        <v>67.050000000000011</v>
      </c>
    </row>
    <row r="554" spans="1:4" s="2" customFormat="1" x14ac:dyDescent="0.25">
      <c r="A554">
        <f t="shared" si="33"/>
        <v>10.679999999999861</v>
      </c>
      <c r="B554" s="2">
        <f t="shared" si="32"/>
        <v>0</v>
      </c>
      <c r="C554" s="2">
        <f t="shared" si="34"/>
        <v>0</v>
      </c>
      <c r="D554" s="2">
        <f t="shared" si="35"/>
        <v>67.050000000000011</v>
      </c>
    </row>
    <row r="555" spans="1:4" s="2" customFormat="1" x14ac:dyDescent="0.25">
      <c r="A555">
        <f t="shared" si="33"/>
        <v>10.699999999999861</v>
      </c>
      <c r="B555" s="2">
        <f t="shared" si="32"/>
        <v>0</v>
      </c>
      <c r="C555" s="2">
        <f t="shared" si="34"/>
        <v>0</v>
      </c>
      <c r="D555" s="2">
        <f t="shared" si="35"/>
        <v>67.050000000000011</v>
      </c>
    </row>
    <row r="556" spans="1:4" s="2" customFormat="1" x14ac:dyDescent="0.25">
      <c r="A556">
        <f t="shared" si="33"/>
        <v>10.71999999999986</v>
      </c>
      <c r="B556" s="2">
        <f t="shared" si="32"/>
        <v>0</v>
      </c>
      <c r="C556" s="2">
        <f t="shared" si="34"/>
        <v>0</v>
      </c>
      <c r="D556" s="2">
        <f t="shared" si="35"/>
        <v>67.050000000000011</v>
      </c>
    </row>
    <row r="557" spans="1:4" s="2" customFormat="1" x14ac:dyDescent="0.25">
      <c r="A557">
        <f t="shared" si="33"/>
        <v>10.73999999999986</v>
      </c>
      <c r="B557" s="2">
        <f t="shared" si="32"/>
        <v>0</v>
      </c>
      <c r="C557" s="2">
        <f t="shared" si="34"/>
        <v>0</v>
      </c>
      <c r="D557" s="2">
        <f t="shared" si="35"/>
        <v>67.050000000000011</v>
      </c>
    </row>
    <row r="558" spans="1:4" s="2" customFormat="1" x14ac:dyDescent="0.25">
      <c r="A558">
        <f t="shared" si="33"/>
        <v>10.759999999999859</v>
      </c>
      <c r="B558" s="2">
        <f t="shared" si="32"/>
        <v>0</v>
      </c>
      <c r="C558" s="2">
        <f t="shared" si="34"/>
        <v>0</v>
      </c>
      <c r="D558" s="2">
        <f t="shared" si="35"/>
        <v>67.050000000000011</v>
      </c>
    </row>
    <row r="559" spans="1:4" s="2" customFormat="1" x14ac:dyDescent="0.25">
      <c r="A559">
        <f t="shared" si="33"/>
        <v>10.779999999999859</v>
      </c>
      <c r="B559" s="2">
        <f t="shared" si="32"/>
        <v>0</v>
      </c>
      <c r="C559" s="2">
        <f t="shared" si="34"/>
        <v>0</v>
      </c>
      <c r="D559" s="2">
        <f t="shared" si="35"/>
        <v>67.050000000000011</v>
      </c>
    </row>
    <row r="560" spans="1:4" s="2" customFormat="1" x14ac:dyDescent="0.25">
      <c r="A560">
        <f t="shared" si="33"/>
        <v>10.799999999999859</v>
      </c>
      <c r="B560" s="2">
        <f t="shared" si="32"/>
        <v>0</v>
      </c>
      <c r="C560" s="2">
        <f t="shared" si="34"/>
        <v>0</v>
      </c>
      <c r="D560" s="2">
        <f t="shared" si="35"/>
        <v>67.050000000000011</v>
      </c>
    </row>
    <row r="561" spans="1:4" s="2" customFormat="1" x14ac:dyDescent="0.25">
      <c r="A561">
        <f t="shared" si="33"/>
        <v>10.819999999999858</v>
      </c>
      <c r="B561" s="2">
        <f t="shared" si="32"/>
        <v>0</v>
      </c>
      <c r="C561" s="2">
        <f t="shared" si="34"/>
        <v>0</v>
      </c>
      <c r="D561" s="2">
        <f t="shared" si="35"/>
        <v>67.050000000000011</v>
      </c>
    </row>
    <row r="562" spans="1:4" s="2" customFormat="1" x14ac:dyDescent="0.25">
      <c r="A562">
        <f t="shared" si="33"/>
        <v>10.839999999999858</v>
      </c>
      <c r="B562" s="2">
        <f t="shared" si="32"/>
        <v>0</v>
      </c>
      <c r="C562" s="2">
        <f t="shared" si="34"/>
        <v>0</v>
      </c>
      <c r="D562" s="2">
        <f t="shared" si="35"/>
        <v>67.050000000000011</v>
      </c>
    </row>
    <row r="563" spans="1:4" s="2" customFormat="1" x14ac:dyDescent="0.25">
      <c r="A563">
        <f t="shared" si="33"/>
        <v>10.859999999999857</v>
      </c>
      <c r="B563" s="2">
        <f t="shared" si="32"/>
        <v>0</v>
      </c>
      <c r="C563" s="2">
        <f t="shared" si="34"/>
        <v>0</v>
      </c>
      <c r="D563" s="2">
        <f t="shared" si="35"/>
        <v>67.050000000000011</v>
      </c>
    </row>
    <row r="564" spans="1:4" s="2" customFormat="1" x14ac:dyDescent="0.25">
      <c r="A564">
        <f t="shared" si="33"/>
        <v>10.879999999999857</v>
      </c>
      <c r="B564" s="2">
        <f t="shared" si="32"/>
        <v>0</v>
      </c>
      <c r="C564" s="2">
        <f t="shared" si="34"/>
        <v>0</v>
      </c>
      <c r="D564" s="2">
        <f t="shared" si="35"/>
        <v>67.050000000000011</v>
      </c>
    </row>
    <row r="565" spans="1:4" s="2" customFormat="1" x14ac:dyDescent="0.25">
      <c r="A565">
        <f t="shared" si="33"/>
        <v>10.899999999999856</v>
      </c>
      <c r="B565" s="2">
        <f t="shared" si="32"/>
        <v>0</v>
      </c>
      <c r="C565" s="2">
        <f t="shared" si="34"/>
        <v>0</v>
      </c>
      <c r="D565" s="2">
        <f t="shared" si="35"/>
        <v>67.050000000000011</v>
      </c>
    </row>
    <row r="566" spans="1:4" s="2" customFormat="1" x14ac:dyDescent="0.25">
      <c r="A566">
        <f t="shared" si="33"/>
        <v>10.919999999999856</v>
      </c>
      <c r="B566" s="2">
        <f t="shared" si="32"/>
        <v>0</v>
      </c>
      <c r="C566" s="2">
        <f t="shared" si="34"/>
        <v>0</v>
      </c>
      <c r="D566" s="2">
        <f t="shared" si="35"/>
        <v>67.050000000000011</v>
      </c>
    </row>
    <row r="567" spans="1:4" s="2" customFormat="1" x14ac:dyDescent="0.25">
      <c r="A567">
        <f t="shared" si="33"/>
        <v>10.939999999999856</v>
      </c>
      <c r="B567" s="2">
        <f t="shared" si="32"/>
        <v>0</v>
      </c>
      <c r="C567" s="2">
        <f t="shared" si="34"/>
        <v>0</v>
      </c>
      <c r="D567" s="2">
        <f t="shared" si="35"/>
        <v>67.050000000000011</v>
      </c>
    </row>
    <row r="568" spans="1:4" s="2" customFormat="1" x14ac:dyDescent="0.25">
      <c r="A568">
        <f t="shared" si="33"/>
        <v>10.959999999999855</v>
      </c>
      <c r="B568" s="2">
        <f t="shared" si="32"/>
        <v>0</v>
      </c>
      <c r="C568" s="2">
        <f t="shared" si="34"/>
        <v>0</v>
      </c>
      <c r="D568" s="2">
        <f t="shared" si="35"/>
        <v>67.050000000000011</v>
      </c>
    </row>
    <row r="569" spans="1:4" s="2" customFormat="1" x14ac:dyDescent="0.25">
      <c r="A569">
        <f t="shared" si="33"/>
        <v>10.979999999999855</v>
      </c>
      <c r="B569" s="2">
        <f t="shared" si="32"/>
        <v>0</v>
      </c>
      <c r="C569" s="2">
        <f t="shared" si="34"/>
        <v>0</v>
      </c>
      <c r="D569" s="2">
        <f t="shared" si="35"/>
        <v>67.050000000000011</v>
      </c>
    </row>
    <row r="570" spans="1:4" s="2" customFormat="1" x14ac:dyDescent="0.25">
      <c r="A570">
        <f t="shared" si="33"/>
        <v>10.999999999999854</v>
      </c>
      <c r="B570" s="2">
        <f t="shared" si="32"/>
        <v>0</v>
      </c>
      <c r="C570" s="2">
        <f t="shared" si="34"/>
        <v>0</v>
      </c>
      <c r="D570" s="2">
        <f t="shared" si="35"/>
        <v>67.050000000000011</v>
      </c>
    </row>
    <row r="571" spans="1:4" s="2" customFormat="1" x14ac:dyDescent="0.25">
      <c r="A571">
        <f t="shared" si="33"/>
        <v>11.019999999999854</v>
      </c>
      <c r="B571" s="2">
        <f t="shared" si="32"/>
        <v>0</v>
      </c>
      <c r="C571" s="2">
        <f t="shared" si="34"/>
        <v>0</v>
      </c>
      <c r="D571" s="2">
        <f t="shared" si="35"/>
        <v>67.050000000000011</v>
      </c>
    </row>
    <row r="572" spans="1:4" s="2" customFormat="1" x14ac:dyDescent="0.25">
      <c r="A572">
        <f t="shared" si="33"/>
        <v>11.039999999999853</v>
      </c>
      <c r="B572" s="2">
        <f t="shared" si="32"/>
        <v>0</v>
      </c>
      <c r="C572" s="2">
        <f t="shared" si="34"/>
        <v>0</v>
      </c>
      <c r="D572" s="2">
        <f t="shared" si="35"/>
        <v>67.050000000000011</v>
      </c>
    </row>
    <row r="573" spans="1:4" s="2" customFormat="1" x14ac:dyDescent="0.25">
      <c r="A573">
        <f t="shared" si="33"/>
        <v>11.059999999999853</v>
      </c>
      <c r="B573" s="2">
        <f t="shared" si="32"/>
        <v>0</v>
      </c>
      <c r="C573" s="2">
        <f t="shared" si="34"/>
        <v>0</v>
      </c>
      <c r="D573" s="2">
        <f t="shared" si="35"/>
        <v>67.050000000000011</v>
      </c>
    </row>
    <row r="574" spans="1:4" s="2" customFormat="1" x14ac:dyDescent="0.25">
      <c r="A574">
        <f t="shared" si="33"/>
        <v>11.079999999999853</v>
      </c>
      <c r="B574" s="2">
        <f t="shared" si="32"/>
        <v>0</v>
      </c>
      <c r="C574" s="2">
        <f t="shared" si="34"/>
        <v>0</v>
      </c>
      <c r="D574" s="2">
        <f t="shared" si="35"/>
        <v>67.050000000000011</v>
      </c>
    </row>
    <row r="575" spans="1:4" s="2" customFormat="1" x14ac:dyDescent="0.25">
      <c r="A575">
        <f t="shared" si="33"/>
        <v>11.099999999999852</v>
      </c>
      <c r="B575" s="2">
        <f t="shared" si="32"/>
        <v>0</v>
      </c>
      <c r="C575" s="2">
        <f t="shared" si="34"/>
        <v>0</v>
      </c>
      <c r="D575" s="2">
        <f t="shared" si="35"/>
        <v>67.050000000000011</v>
      </c>
    </row>
    <row r="576" spans="1:4" s="2" customFormat="1" x14ac:dyDescent="0.25">
      <c r="A576">
        <f t="shared" si="33"/>
        <v>11.119999999999852</v>
      </c>
      <c r="B576" s="2">
        <f t="shared" si="32"/>
        <v>0</v>
      </c>
      <c r="C576" s="2">
        <f t="shared" si="34"/>
        <v>0</v>
      </c>
      <c r="D576" s="2">
        <f t="shared" si="35"/>
        <v>67.050000000000011</v>
      </c>
    </row>
    <row r="577" spans="1:4" s="2" customFormat="1" x14ac:dyDescent="0.25">
      <c r="A577">
        <f t="shared" si="33"/>
        <v>11.139999999999851</v>
      </c>
      <c r="B577" s="2">
        <f t="shared" si="32"/>
        <v>0</v>
      </c>
      <c r="C577" s="2">
        <f t="shared" si="34"/>
        <v>0</v>
      </c>
      <c r="D577" s="2">
        <f t="shared" si="35"/>
        <v>67.050000000000011</v>
      </c>
    </row>
    <row r="578" spans="1:4" s="2" customFormat="1" x14ac:dyDescent="0.25">
      <c r="A578">
        <f t="shared" si="33"/>
        <v>11.159999999999851</v>
      </c>
      <c r="B578" s="2">
        <f t="shared" si="32"/>
        <v>0</v>
      </c>
      <c r="C578" s="2">
        <f t="shared" si="34"/>
        <v>0</v>
      </c>
      <c r="D578" s="2">
        <f t="shared" si="35"/>
        <v>67.050000000000011</v>
      </c>
    </row>
    <row r="579" spans="1:4" s="2" customFormat="1" x14ac:dyDescent="0.25">
      <c r="A579">
        <f t="shared" si="33"/>
        <v>11.179999999999851</v>
      </c>
      <c r="B579" s="2">
        <f t="shared" si="32"/>
        <v>0</v>
      </c>
      <c r="C579" s="2">
        <f t="shared" si="34"/>
        <v>0</v>
      </c>
      <c r="D579" s="2">
        <f t="shared" si="35"/>
        <v>67.050000000000011</v>
      </c>
    </row>
    <row r="580" spans="1:4" s="2" customFormat="1" x14ac:dyDescent="0.25">
      <c r="A580">
        <f t="shared" si="33"/>
        <v>11.19999999999985</v>
      </c>
      <c r="B580" s="2">
        <f t="shared" si="32"/>
        <v>0</v>
      </c>
      <c r="C580" s="2">
        <f t="shared" si="34"/>
        <v>0</v>
      </c>
      <c r="D580" s="2">
        <f t="shared" si="35"/>
        <v>67.050000000000011</v>
      </c>
    </row>
    <row r="581" spans="1:4" s="2" customFormat="1" x14ac:dyDescent="0.25">
      <c r="A581">
        <f t="shared" si="33"/>
        <v>11.21999999999985</v>
      </c>
      <c r="B581" s="2">
        <f t="shared" si="32"/>
        <v>0</v>
      </c>
      <c r="C581" s="2">
        <f t="shared" si="34"/>
        <v>0</v>
      </c>
      <c r="D581" s="2">
        <f t="shared" si="35"/>
        <v>67.050000000000011</v>
      </c>
    </row>
    <row r="582" spans="1:4" s="2" customFormat="1" x14ac:dyDescent="0.25">
      <c r="A582">
        <f t="shared" si="33"/>
        <v>11.239999999999849</v>
      </c>
      <c r="B582" s="2">
        <f t="shared" si="32"/>
        <v>0</v>
      </c>
      <c r="C582" s="2">
        <f t="shared" si="34"/>
        <v>0</v>
      </c>
      <c r="D582" s="2">
        <f t="shared" si="35"/>
        <v>67.050000000000011</v>
      </c>
    </row>
    <row r="583" spans="1:4" s="2" customFormat="1" x14ac:dyDescent="0.25">
      <c r="A583">
        <f t="shared" si="33"/>
        <v>11.259999999999849</v>
      </c>
      <c r="B583" s="2">
        <f t="shared" si="32"/>
        <v>0</v>
      </c>
      <c r="C583" s="2">
        <f t="shared" si="34"/>
        <v>0</v>
      </c>
      <c r="D583" s="2">
        <f t="shared" si="35"/>
        <v>67.050000000000011</v>
      </c>
    </row>
    <row r="584" spans="1:4" s="2" customFormat="1" x14ac:dyDescent="0.25">
      <c r="A584">
        <f t="shared" si="33"/>
        <v>11.279999999999848</v>
      </c>
      <c r="B584" s="2">
        <f t="shared" si="32"/>
        <v>0</v>
      </c>
      <c r="C584" s="2">
        <f t="shared" si="34"/>
        <v>0</v>
      </c>
      <c r="D584" s="2">
        <f t="shared" si="35"/>
        <v>67.050000000000011</v>
      </c>
    </row>
    <row r="585" spans="1:4" s="2" customFormat="1" x14ac:dyDescent="0.25">
      <c r="A585">
        <f t="shared" si="33"/>
        <v>11.299999999999848</v>
      </c>
      <c r="B585" s="2">
        <f t="shared" si="32"/>
        <v>0</v>
      </c>
      <c r="C585" s="2">
        <f t="shared" si="34"/>
        <v>0</v>
      </c>
      <c r="D585" s="2">
        <f t="shared" si="35"/>
        <v>67.050000000000011</v>
      </c>
    </row>
    <row r="586" spans="1:4" s="2" customFormat="1" x14ac:dyDescent="0.25">
      <c r="A586">
        <f t="shared" si="33"/>
        <v>11.319999999999848</v>
      </c>
      <c r="B586" s="2">
        <f t="shared" si="32"/>
        <v>0</v>
      </c>
      <c r="C586" s="2">
        <f t="shared" si="34"/>
        <v>0</v>
      </c>
      <c r="D586" s="2">
        <f t="shared" si="35"/>
        <v>67.050000000000011</v>
      </c>
    </row>
    <row r="587" spans="1:4" s="2" customFormat="1" x14ac:dyDescent="0.25">
      <c r="A587">
        <f t="shared" si="33"/>
        <v>11.339999999999847</v>
      </c>
      <c r="B587" s="2">
        <f t="shared" si="32"/>
        <v>0</v>
      </c>
      <c r="C587" s="2">
        <f t="shared" si="34"/>
        <v>0</v>
      </c>
      <c r="D587" s="2">
        <f t="shared" si="35"/>
        <v>67.050000000000011</v>
      </c>
    </row>
    <row r="588" spans="1:4" s="2" customFormat="1" x14ac:dyDescent="0.25">
      <c r="A588">
        <f t="shared" si="33"/>
        <v>11.359999999999847</v>
      </c>
      <c r="B588" s="2">
        <f t="shared" si="32"/>
        <v>0</v>
      </c>
      <c r="C588" s="2">
        <f t="shared" si="34"/>
        <v>0</v>
      </c>
      <c r="D588" s="2">
        <f t="shared" si="35"/>
        <v>67.050000000000011</v>
      </c>
    </row>
    <row r="589" spans="1:4" s="2" customFormat="1" x14ac:dyDescent="0.25">
      <c r="A589">
        <f t="shared" si="33"/>
        <v>11.379999999999846</v>
      </c>
      <c r="B589" s="2">
        <f t="shared" si="32"/>
        <v>0</v>
      </c>
      <c r="C589" s="2">
        <f t="shared" si="34"/>
        <v>0</v>
      </c>
      <c r="D589" s="2">
        <f t="shared" si="35"/>
        <v>67.050000000000011</v>
      </c>
    </row>
    <row r="590" spans="1:4" s="2" customFormat="1" x14ac:dyDescent="0.25">
      <c r="A590">
        <f t="shared" si="33"/>
        <v>11.399999999999846</v>
      </c>
      <c r="B590" s="2">
        <f t="shared" si="32"/>
        <v>0</v>
      </c>
      <c r="C590" s="2">
        <f t="shared" si="34"/>
        <v>0</v>
      </c>
      <c r="D590" s="2">
        <f t="shared" si="35"/>
        <v>67.050000000000011</v>
      </c>
    </row>
    <row r="591" spans="1:4" s="2" customFormat="1" x14ac:dyDescent="0.25">
      <c r="A591">
        <f t="shared" si="33"/>
        <v>11.419999999999845</v>
      </c>
      <c r="B591" s="2">
        <f t="shared" si="32"/>
        <v>0</v>
      </c>
      <c r="C591" s="2">
        <f t="shared" si="34"/>
        <v>0</v>
      </c>
      <c r="D591" s="2">
        <f t="shared" si="35"/>
        <v>67.050000000000011</v>
      </c>
    </row>
    <row r="592" spans="1:4" s="2" customFormat="1" x14ac:dyDescent="0.25">
      <c r="A592">
        <f t="shared" si="33"/>
        <v>11.439999999999845</v>
      </c>
      <c r="B592" s="2">
        <f t="shared" si="32"/>
        <v>0</v>
      </c>
      <c r="C592" s="2">
        <f t="shared" si="34"/>
        <v>0</v>
      </c>
      <c r="D592" s="2">
        <f t="shared" si="35"/>
        <v>67.050000000000011</v>
      </c>
    </row>
    <row r="593" spans="1:4" s="2" customFormat="1" x14ac:dyDescent="0.25">
      <c r="A593">
        <f t="shared" si="33"/>
        <v>11.459999999999845</v>
      </c>
      <c r="B593" s="2">
        <f t="shared" si="32"/>
        <v>0</v>
      </c>
      <c r="C593" s="2">
        <f t="shared" si="34"/>
        <v>0</v>
      </c>
      <c r="D593" s="2">
        <f t="shared" si="35"/>
        <v>67.050000000000011</v>
      </c>
    </row>
    <row r="594" spans="1:4" s="2" customFormat="1" x14ac:dyDescent="0.25">
      <c r="A594">
        <f t="shared" si="33"/>
        <v>11.479999999999844</v>
      </c>
      <c r="B594" s="2">
        <f t="shared" si="32"/>
        <v>0</v>
      </c>
      <c r="C594" s="2">
        <f t="shared" si="34"/>
        <v>0</v>
      </c>
      <c r="D594" s="2">
        <f t="shared" si="35"/>
        <v>67.050000000000011</v>
      </c>
    </row>
    <row r="595" spans="1:4" s="2" customFormat="1" x14ac:dyDescent="0.25">
      <c r="A595">
        <f t="shared" si="33"/>
        <v>11.499999999999844</v>
      </c>
      <c r="B595" s="2">
        <f t="shared" si="32"/>
        <v>0</v>
      </c>
      <c r="C595" s="2">
        <f t="shared" si="34"/>
        <v>0</v>
      </c>
      <c r="D595" s="2">
        <f t="shared" si="35"/>
        <v>67.050000000000011</v>
      </c>
    </row>
    <row r="596" spans="1:4" s="2" customFormat="1" x14ac:dyDescent="0.25">
      <c r="A596">
        <f t="shared" si="33"/>
        <v>11.519999999999843</v>
      </c>
      <c r="B596" s="2">
        <f t="shared" si="32"/>
        <v>0</v>
      </c>
      <c r="C596" s="2">
        <f t="shared" si="34"/>
        <v>0</v>
      </c>
      <c r="D596" s="2">
        <f t="shared" si="35"/>
        <v>67.050000000000011</v>
      </c>
    </row>
    <row r="597" spans="1:4" s="2" customFormat="1" x14ac:dyDescent="0.25">
      <c r="A597">
        <f t="shared" si="33"/>
        <v>11.539999999999843</v>
      </c>
      <c r="B597" s="2">
        <f t="shared" ref="B597:B660" si="36">MAX(0,IF(A597&lt;$B$14,B596+$B$8,IF(AND(A597&gt;=$B$14,A597&lt;=$B$15),$B$11/$B$2,B596-$B$8)))</f>
        <v>0</v>
      </c>
      <c r="C597" s="2">
        <f t="shared" si="34"/>
        <v>0</v>
      </c>
      <c r="D597" s="2">
        <f t="shared" si="35"/>
        <v>67.050000000000011</v>
      </c>
    </row>
    <row r="598" spans="1:4" s="2" customFormat="1" x14ac:dyDescent="0.25">
      <c r="A598">
        <f t="shared" ref="A598:A661" si="37">A597+$B$1</f>
        <v>11.559999999999842</v>
      </c>
      <c r="B598" s="2">
        <f t="shared" si="36"/>
        <v>0</v>
      </c>
      <c r="C598" s="2">
        <f t="shared" ref="C598:C661" si="38">B598*$B$2</f>
        <v>0</v>
      </c>
      <c r="D598" s="2">
        <f t="shared" ref="D598:D661" si="39">D597+C597*$B$1</f>
        <v>67.050000000000011</v>
      </c>
    </row>
    <row r="599" spans="1:4" s="2" customFormat="1" x14ac:dyDescent="0.25">
      <c r="A599">
        <f t="shared" si="37"/>
        <v>11.579999999999842</v>
      </c>
      <c r="B599" s="2">
        <f t="shared" si="36"/>
        <v>0</v>
      </c>
      <c r="C599" s="2">
        <f t="shared" si="38"/>
        <v>0</v>
      </c>
      <c r="D599" s="2">
        <f t="shared" si="39"/>
        <v>67.050000000000011</v>
      </c>
    </row>
    <row r="600" spans="1:4" s="2" customFormat="1" x14ac:dyDescent="0.25">
      <c r="A600">
        <f t="shared" si="37"/>
        <v>11.599999999999842</v>
      </c>
      <c r="B600" s="2">
        <f t="shared" si="36"/>
        <v>0</v>
      </c>
      <c r="C600" s="2">
        <f t="shared" si="38"/>
        <v>0</v>
      </c>
      <c r="D600" s="2">
        <f t="shared" si="39"/>
        <v>67.050000000000011</v>
      </c>
    </row>
    <row r="601" spans="1:4" s="2" customFormat="1" x14ac:dyDescent="0.25">
      <c r="A601">
        <f t="shared" si="37"/>
        <v>11.619999999999841</v>
      </c>
      <c r="B601" s="2">
        <f t="shared" si="36"/>
        <v>0</v>
      </c>
      <c r="C601" s="2">
        <f t="shared" si="38"/>
        <v>0</v>
      </c>
      <c r="D601" s="2">
        <f t="shared" si="39"/>
        <v>67.050000000000011</v>
      </c>
    </row>
    <row r="602" spans="1:4" s="2" customFormat="1" x14ac:dyDescent="0.25">
      <c r="A602">
        <f t="shared" si="37"/>
        <v>11.639999999999841</v>
      </c>
      <c r="B602" s="2">
        <f t="shared" si="36"/>
        <v>0</v>
      </c>
      <c r="C602" s="2">
        <f t="shared" si="38"/>
        <v>0</v>
      </c>
      <c r="D602" s="2">
        <f t="shared" si="39"/>
        <v>67.050000000000011</v>
      </c>
    </row>
    <row r="603" spans="1:4" s="2" customFormat="1" x14ac:dyDescent="0.25">
      <c r="A603">
        <f t="shared" si="37"/>
        <v>11.65999999999984</v>
      </c>
      <c r="B603" s="2">
        <f t="shared" si="36"/>
        <v>0</v>
      </c>
      <c r="C603" s="2">
        <f t="shared" si="38"/>
        <v>0</v>
      </c>
      <c r="D603" s="2">
        <f t="shared" si="39"/>
        <v>67.050000000000011</v>
      </c>
    </row>
    <row r="604" spans="1:4" s="2" customFormat="1" x14ac:dyDescent="0.25">
      <c r="A604">
        <f t="shared" si="37"/>
        <v>11.67999999999984</v>
      </c>
      <c r="B604" s="2">
        <f t="shared" si="36"/>
        <v>0</v>
      </c>
      <c r="C604" s="2">
        <f t="shared" si="38"/>
        <v>0</v>
      </c>
      <c r="D604" s="2">
        <f t="shared" si="39"/>
        <v>67.050000000000011</v>
      </c>
    </row>
    <row r="605" spans="1:4" s="2" customFormat="1" x14ac:dyDescent="0.25">
      <c r="A605">
        <f t="shared" si="37"/>
        <v>11.699999999999839</v>
      </c>
      <c r="B605" s="2">
        <f t="shared" si="36"/>
        <v>0</v>
      </c>
      <c r="C605" s="2">
        <f t="shared" si="38"/>
        <v>0</v>
      </c>
      <c r="D605" s="2">
        <f t="shared" si="39"/>
        <v>67.050000000000011</v>
      </c>
    </row>
    <row r="606" spans="1:4" s="2" customFormat="1" x14ac:dyDescent="0.25">
      <c r="A606">
        <f t="shared" si="37"/>
        <v>11.719999999999839</v>
      </c>
      <c r="B606" s="2">
        <f t="shared" si="36"/>
        <v>0</v>
      </c>
      <c r="C606" s="2">
        <f t="shared" si="38"/>
        <v>0</v>
      </c>
      <c r="D606" s="2">
        <f t="shared" si="39"/>
        <v>67.050000000000011</v>
      </c>
    </row>
    <row r="607" spans="1:4" s="2" customFormat="1" x14ac:dyDescent="0.25">
      <c r="A607">
        <f t="shared" si="37"/>
        <v>11.739999999999839</v>
      </c>
      <c r="B607" s="2">
        <f t="shared" si="36"/>
        <v>0</v>
      </c>
      <c r="C607" s="2">
        <f t="shared" si="38"/>
        <v>0</v>
      </c>
      <c r="D607" s="2">
        <f t="shared" si="39"/>
        <v>67.050000000000011</v>
      </c>
    </row>
    <row r="608" spans="1:4" s="2" customFormat="1" x14ac:dyDescent="0.25">
      <c r="A608">
        <f t="shared" si="37"/>
        <v>11.759999999999838</v>
      </c>
      <c r="B608" s="2">
        <f t="shared" si="36"/>
        <v>0</v>
      </c>
      <c r="C608" s="2">
        <f t="shared" si="38"/>
        <v>0</v>
      </c>
      <c r="D608" s="2">
        <f t="shared" si="39"/>
        <v>67.050000000000011</v>
      </c>
    </row>
    <row r="609" spans="1:4" s="2" customFormat="1" x14ac:dyDescent="0.25">
      <c r="A609">
        <f t="shared" si="37"/>
        <v>11.779999999999838</v>
      </c>
      <c r="B609" s="2">
        <f t="shared" si="36"/>
        <v>0</v>
      </c>
      <c r="C609" s="2">
        <f t="shared" si="38"/>
        <v>0</v>
      </c>
      <c r="D609" s="2">
        <f t="shared" si="39"/>
        <v>67.050000000000011</v>
      </c>
    </row>
    <row r="610" spans="1:4" s="2" customFormat="1" x14ac:dyDescent="0.25">
      <c r="A610">
        <f t="shared" si="37"/>
        <v>11.799999999999837</v>
      </c>
      <c r="B610" s="2">
        <f t="shared" si="36"/>
        <v>0</v>
      </c>
      <c r="C610" s="2">
        <f t="shared" si="38"/>
        <v>0</v>
      </c>
      <c r="D610" s="2">
        <f t="shared" si="39"/>
        <v>67.050000000000011</v>
      </c>
    </row>
    <row r="611" spans="1:4" s="2" customFormat="1" x14ac:dyDescent="0.25">
      <c r="A611">
        <f t="shared" si="37"/>
        <v>11.819999999999837</v>
      </c>
      <c r="B611" s="2">
        <f t="shared" si="36"/>
        <v>0</v>
      </c>
      <c r="C611" s="2">
        <f t="shared" si="38"/>
        <v>0</v>
      </c>
      <c r="D611" s="2">
        <f t="shared" si="39"/>
        <v>67.050000000000011</v>
      </c>
    </row>
    <row r="612" spans="1:4" s="2" customFormat="1" x14ac:dyDescent="0.25">
      <c r="A612">
        <f t="shared" si="37"/>
        <v>11.839999999999836</v>
      </c>
      <c r="B612" s="2">
        <f t="shared" si="36"/>
        <v>0</v>
      </c>
      <c r="C612" s="2">
        <f t="shared" si="38"/>
        <v>0</v>
      </c>
      <c r="D612" s="2">
        <f t="shared" si="39"/>
        <v>67.050000000000011</v>
      </c>
    </row>
    <row r="613" spans="1:4" s="2" customFormat="1" x14ac:dyDescent="0.25">
      <c r="A613">
        <f t="shared" si="37"/>
        <v>11.859999999999836</v>
      </c>
      <c r="B613" s="2">
        <f t="shared" si="36"/>
        <v>0</v>
      </c>
      <c r="C613" s="2">
        <f t="shared" si="38"/>
        <v>0</v>
      </c>
      <c r="D613" s="2">
        <f t="shared" si="39"/>
        <v>67.050000000000011</v>
      </c>
    </row>
    <row r="614" spans="1:4" s="2" customFormat="1" x14ac:dyDescent="0.25">
      <c r="A614">
        <f t="shared" si="37"/>
        <v>11.879999999999836</v>
      </c>
      <c r="B614" s="2">
        <f t="shared" si="36"/>
        <v>0</v>
      </c>
      <c r="C614" s="2">
        <f t="shared" si="38"/>
        <v>0</v>
      </c>
      <c r="D614" s="2">
        <f t="shared" si="39"/>
        <v>67.050000000000011</v>
      </c>
    </row>
    <row r="615" spans="1:4" s="2" customFormat="1" x14ac:dyDescent="0.25">
      <c r="A615">
        <f t="shared" si="37"/>
        <v>11.899999999999835</v>
      </c>
      <c r="B615" s="2">
        <f t="shared" si="36"/>
        <v>0</v>
      </c>
      <c r="C615" s="2">
        <f t="shared" si="38"/>
        <v>0</v>
      </c>
      <c r="D615" s="2">
        <f t="shared" si="39"/>
        <v>67.050000000000011</v>
      </c>
    </row>
    <row r="616" spans="1:4" s="2" customFormat="1" x14ac:dyDescent="0.25">
      <c r="A616">
        <f t="shared" si="37"/>
        <v>11.919999999999835</v>
      </c>
      <c r="B616" s="2">
        <f t="shared" si="36"/>
        <v>0</v>
      </c>
      <c r="C616" s="2">
        <f t="shared" si="38"/>
        <v>0</v>
      </c>
      <c r="D616" s="2">
        <f t="shared" si="39"/>
        <v>67.050000000000011</v>
      </c>
    </row>
    <row r="617" spans="1:4" s="2" customFormat="1" x14ac:dyDescent="0.25">
      <c r="A617">
        <f t="shared" si="37"/>
        <v>11.939999999999834</v>
      </c>
      <c r="B617" s="2">
        <f t="shared" si="36"/>
        <v>0</v>
      </c>
      <c r="C617" s="2">
        <f t="shared" si="38"/>
        <v>0</v>
      </c>
      <c r="D617" s="2">
        <f t="shared" si="39"/>
        <v>67.050000000000011</v>
      </c>
    </row>
    <row r="618" spans="1:4" s="2" customFormat="1" x14ac:dyDescent="0.25">
      <c r="A618">
        <f t="shared" si="37"/>
        <v>11.959999999999834</v>
      </c>
      <c r="B618" s="2">
        <f t="shared" si="36"/>
        <v>0</v>
      </c>
      <c r="C618" s="2">
        <f t="shared" si="38"/>
        <v>0</v>
      </c>
      <c r="D618" s="2">
        <f t="shared" si="39"/>
        <v>67.050000000000011</v>
      </c>
    </row>
    <row r="619" spans="1:4" s="2" customFormat="1" x14ac:dyDescent="0.25">
      <c r="A619">
        <f t="shared" si="37"/>
        <v>11.979999999999833</v>
      </c>
      <c r="B619" s="2">
        <f t="shared" si="36"/>
        <v>0</v>
      </c>
      <c r="C619" s="2">
        <f t="shared" si="38"/>
        <v>0</v>
      </c>
      <c r="D619" s="2">
        <f t="shared" si="39"/>
        <v>67.050000000000011</v>
      </c>
    </row>
    <row r="620" spans="1:4" s="2" customFormat="1" x14ac:dyDescent="0.25">
      <c r="A620">
        <f t="shared" si="37"/>
        <v>11.999999999999833</v>
      </c>
      <c r="B620" s="2">
        <f t="shared" si="36"/>
        <v>0</v>
      </c>
      <c r="C620" s="2">
        <f t="shared" si="38"/>
        <v>0</v>
      </c>
      <c r="D620" s="2">
        <f t="shared" si="39"/>
        <v>67.050000000000011</v>
      </c>
    </row>
    <row r="621" spans="1:4" s="2" customFormat="1" x14ac:dyDescent="0.25">
      <c r="A621">
        <f t="shared" si="37"/>
        <v>12.019999999999833</v>
      </c>
      <c r="B621" s="2">
        <f t="shared" si="36"/>
        <v>0</v>
      </c>
      <c r="C621" s="2">
        <f t="shared" si="38"/>
        <v>0</v>
      </c>
      <c r="D621" s="2">
        <f t="shared" si="39"/>
        <v>67.050000000000011</v>
      </c>
    </row>
    <row r="622" spans="1:4" s="2" customFormat="1" x14ac:dyDescent="0.25">
      <c r="A622">
        <f t="shared" si="37"/>
        <v>12.039999999999832</v>
      </c>
      <c r="B622" s="2">
        <f t="shared" si="36"/>
        <v>0</v>
      </c>
      <c r="C622" s="2">
        <f t="shared" si="38"/>
        <v>0</v>
      </c>
      <c r="D622" s="2">
        <f t="shared" si="39"/>
        <v>67.050000000000011</v>
      </c>
    </row>
    <row r="623" spans="1:4" s="2" customFormat="1" x14ac:dyDescent="0.25">
      <c r="A623">
        <f t="shared" si="37"/>
        <v>12.059999999999832</v>
      </c>
      <c r="B623" s="2">
        <f t="shared" si="36"/>
        <v>0</v>
      </c>
      <c r="C623" s="2">
        <f t="shared" si="38"/>
        <v>0</v>
      </c>
      <c r="D623" s="2">
        <f t="shared" si="39"/>
        <v>67.050000000000011</v>
      </c>
    </row>
    <row r="624" spans="1:4" s="2" customFormat="1" x14ac:dyDescent="0.25">
      <c r="A624">
        <f t="shared" si="37"/>
        <v>12.079999999999831</v>
      </c>
      <c r="B624" s="2">
        <f t="shared" si="36"/>
        <v>0</v>
      </c>
      <c r="C624" s="2">
        <f t="shared" si="38"/>
        <v>0</v>
      </c>
      <c r="D624" s="2">
        <f t="shared" si="39"/>
        <v>67.050000000000011</v>
      </c>
    </row>
    <row r="625" spans="1:4" s="2" customFormat="1" x14ac:dyDescent="0.25">
      <c r="A625">
        <f t="shared" si="37"/>
        <v>12.099999999999831</v>
      </c>
      <c r="B625" s="2">
        <f t="shared" si="36"/>
        <v>0</v>
      </c>
      <c r="C625" s="2">
        <f t="shared" si="38"/>
        <v>0</v>
      </c>
      <c r="D625" s="2">
        <f t="shared" si="39"/>
        <v>67.050000000000011</v>
      </c>
    </row>
    <row r="626" spans="1:4" s="2" customFormat="1" x14ac:dyDescent="0.25">
      <c r="A626">
        <f t="shared" si="37"/>
        <v>12.11999999999983</v>
      </c>
      <c r="B626" s="2">
        <f t="shared" si="36"/>
        <v>0</v>
      </c>
      <c r="C626" s="2">
        <f t="shared" si="38"/>
        <v>0</v>
      </c>
      <c r="D626" s="2">
        <f t="shared" si="39"/>
        <v>67.050000000000011</v>
      </c>
    </row>
    <row r="627" spans="1:4" s="2" customFormat="1" x14ac:dyDescent="0.25">
      <c r="A627">
        <f t="shared" si="37"/>
        <v>12.13999999999983</v>
      </c>
      <c r="B627" s="2">
        <f t="shared" si="36"/>
        <v>0</v>
      </c>
      <c r="C627" s="2">
        <f t="shared" si="38"/>
        <v>0</v>
      </c>
      <c r="D627" s="2">
        <f t="shared" si="39"/>
        <v>67.050000000000011</v>
      </c>
    </row>
    <row r="628" spans="1:4" s="2" customFormat="1" x14ac:dyDescent="0.25">
      <c r="A628">
        <f t="shared" si="37"/>
        <v>12.15999999999983</v>
      </c>
      <c r="B628" s="2">
        <f t="shared" si="36"/>
        <v>0</v>
      </c>
      <c r="C628" s="2">
        <f t="shared" si="38"/>
        <v>0</v>
      </c>
      <c r="D628" s="2">
        <f t="shared" si="39"/>
        <v>67.050000000000011</v>
      </c>
    </row>
    <row r="629" spans="1:4" s="2" customFormat="1" x14ac:dyDescent="0.25">
      <c r="A629">
        <f t="shared" si="37"/>
        <v>12.179999999999829</v>
      </c>
      <c r="B629" s="2">
        <f t="shared" si="36"/>
        <v>0</v>
      </c>
      <c r="C629" s="2">
        <f t="shared" si="38"/>
        <v>0</v>
      </c>
      <c r="D629" s="2">
        <f t="shared" si="39"/>
        <v>67.050000000000011</v>
      </c>
    </row>
    <row r="630" spans="1:4" s="2" customFormat="1" x14ac:dyDescent="0.25">
      <c r="A630">
        <f t="shared" si="37"/>
        <v>12.199999999999829</v>
      </c>
      <c r="B630" s="2">
        <f t="shared" si="36"/>
        <v>0</v>
      </c>
      <c r="C630" s="2">
        <f t="shared" si="38"/>
        <v>0</v>
      </c>
      <c r="D630" s="2">
        <f t="shared" si="39"/>
        <v>67.050000000000011</v>
      </c>
    </row>
    <row r="631" spans="1:4" s="2" customFormat="1" x14ac:dyDescent="0.25">
      <c r="A631">
        <f t="shared" si="37"/>
        <v>12.219999999999828</v>
      </c>
      <c r="B631" s="2">
        <f t="shared" si="36"/>
        <v>0</v>
      </c>
      <c r="C631" s="2">
        <f t="shared" si="38"/>
        <v>0</v>
      </c>
      <c r="D631" s="2">
        <f t="shared" si="39"/>
        <v>67.050000000000011</v>
      </c>
    </row>
    <row r="632" spans="1:4" s="2" customFormat="1" x14ac:dyDescent="0.25">
      <c r="A632">
        <f t="shared" si="37"/>
        <v>12.239999999999828</v>
      </c>
      <c r="B632" s="2">
        <f t="shared" si="36"/>
        <v>0</v>
      </c>
      <c r="C632" s="2">
        <f t="shared" si="38"/>
        <v>0</v>
      </c>
      <c r="D632" s="2">
        <f t="shared" si="39"/>
        <v>67.050000000000011</v>
      </c>
    </row>
    <row r="633" spans="1:4" s="2" customFormat="1" x14ac:dyDescent="0.25">
      <c r="A633">
        <f t="shared" si="37"/>
        <v>12.259999999999827</v>
      </c>
      <c r="B633" s="2">
        <f t="shared" si="36"/>
        <v>0</v>
      </c>
      <c r="C633" s="2">
        <f t="shared" si="38"/>
        <v>0</v>
      </c>
      <c r="D633" s="2">
        <f t="shared" si="39"/>
        <v>67.050000000000011</v>
      </c>
    </row>
    <row r="634" spans="1:4" s="2" customFormat="1" x14ac:dyDescent="0.25">
      <c r="A634">
        <f t="shared" si="37"/>
        <v>12.279999999999827</v>
      </c>
      <c r="B634" s="2">
        <f t="shared" si="36"/>
        <v>0</v>
      </c>
      <c r="C634" s="2">
        <f t="shared" si="38"/>
        <v>0</v>
      </c>
      <c r="D634" s="2">
        <f t="shared" si="39"/>
        <v>67.050000000000011</v>
      </c>
    </row>
    <row r="635" spans="1:4" s="2" customFormat="1" x14ac:dyDescent="0.25">
      <c r="A635">
        <f t="shared" si="37"/>
        <v>12.299999999999827</v>
      </c>
      <c r="B635" s="2">
        <f t="shared" si="36"/>
        <v>0</v>
      </c>
      <c r="C635" s="2">
        <f t="shared" si="38"/>
        <v>0</v>
      </c>
      <c r="D635" s="2">
        <f t="shared" si="39"/>
        <v>67.050000000000011</v>
      </c>
    </row>
    <row r="636" spans="1:4" s="2" customFormat="1" x14ac:dyDescent="0.25">
      <c r="A636">
        <f t="shared" si="37"/>
        <v>12.319999999999826</v>
      </c>
      <c r="B636" s="2">
        <f t="shared" si="36"/>
        <v>0</v>
      </c>
      <c r="C636" s="2">
        <f t="shared" si="38"/>
        <v>0</v>
      </c>
      <c r="D636" s="2">
        <f t="shared" si="39"/>
        <v>67.050000000000011</v>
      </c>
    </row>
    <row r="637" spans="1:4" s="2" customFormat="1" x14ac:dyDescent="0.25">
      <c r="A637">
        <f t="shared" si="37"/>
        <v>12.339999999999826</v>
      </c>
      <c r="B637" s="2">
        <f t="shared" si="36"/>
        <v>0</v>
      </c>
      <c r="C637" s="2">
        <f t="shared" si="38"/>
        <v>0</v>
      </c>
      <c r="D637" s="2">
        <f t="shared" si="39"/>
        <v>67.050000000000011</v>
      </c>
    </row>
    <row r="638" spans="1:4" s="2" customFormat="1" x14ac:dyDescent="0.25">
      <c r="A638">
        <f t="shared" si="37"/>
        <v>12.359999999999825</v>
      </c>
      <c r="B638" s="2">
        <f t="shared" si="36"/>
        <v>0</v>
      </c>
      <c r="C638" s="2">
        <f t="shared" si="38"/>
        <v>0</v>
      </c>
      <c r="D638" s="2">
        <f t="shared" si="39"/>
        <v>67.050000000000011</v>
      </c>
    </row>
    <row r="639" spans="1:4" s="2" customFormat="1" x14ac:dyDescent="0.25">
      <c r="A639">
        <f t="shared" si="37"/>
        <v>12.379999999999825</v>
      </c>
      <c r="B639" s="2">
        <f t="shared" si="36"/>
        <v>0</v>
      </c>
      <c r="C639" s="2">
        <f t="shared" si="38"/>
        <v>0</v>
      </c>
      <c r="D639" s="2">
        <f t="shared" si="39"/>
        <v>67.050000000000011</v>
      </c>
    </row>
    <row r="640" spans="1:4" s="2" customFormat="1" x14ac:dyDescent="0.25">
      <c r="A640">
        <f t="shared" si="37"/>
        <v>12.399999999999824</v>
      </c>
      <c r="B640" s="2">
        <f t="shared" si="36"/>
        <v>0</v>
      </c>
      <c r="C640" s="2">
        <f t="shared" si="38"/>
        <v>0</v>
      </c>
      <c r="D640" s="2">
        <f t="shared" si="39"/>
        <v>67.050000000000011</v>
      </c>
    </row>
    <row r="641" spans="1:4" s="2" customFormat="1" x14ac:dyDescent="0.25">
      <c r="A641">
        <f t="shared" si="37"/>
        <v>12.419999999999824</v>
      </c>
      <c r="B641" s="2">
        <f t="shared" si="36"/>
        <v>0</v>
      </c>
      <c r="C641" s="2">
        <f t="shared" si="38"/>
        <v>0</v>
      </c>
      <c r="D641" s="2">
        <f t="shared" si="39"/>
        <v>67.050000000000011</v>
      </c>
    </row>
    <row r="642" spans="1:4" s="2" customFormat="1" x14ac:dyDescent="0.25">
      <c r="A642">
        <f t="shared" si="37"/>
        <v>12.439999999999824</v>
      </c>
      <c r="B642" s="2">
        <f t="shared" si="36"/>
        <v>0</v>
      </c>
      <c r="C642" s="2">
        <f t="shared" si="38"/>
        <v>0</v>
      </c>
      <c r="D642" s="2">
        <f t="shared" si="39"/>
        <v>67.050000000000011</v>
      </c>
    </row>
    <row r="643" spans="1:4" s="2" customFormat="1" x14ac:dyDescent="0.25">
      <c r="A643">
        <f t="shared" si="37"/>
        <v>12.459999999999823</v>
      </c>
      <c r="B643" s="2">
        <f t="shared" si="36"/>
        <v>0</v>
      </c>
      <c r="C643" s="2">
        <f t="shared" si="38"/>
        <v>0</v>
      </c>
      <c r="D643" s="2">
        <f t="shared" si="39"/>
        <v>67.050000000000011</v>
      </c>
    </row>
    <row r="644" spans="1:4" s="2" customFormat="1" x14ac:dyDescent="0.25">
      <c r="A644">
        <f t="shared" si="37"/>
        <v>12.479999999999823</v>
      </c>
      <c r="B644" s="2">
        <f t="shared" si="36"/>
        <v>0</v>
      </c>
      <c r="C644" s="2">
        <f t="shared" si="38"/>
        <v>0</v>
      </c>
      <c r="D644" s="2">
        <f t="shared" si="39"/>
        <v>67.050000000000011</v>
      </c>
    </row>
    <row r="645" spans="1:4" s="2" customFormat="1" x14ac:dyDescent="0.25">
      <c r="A645">
        <f t="shared" si="37"/>
        <v>12.499999999999822</v>
      </c>
      <c r="B645" s="2">
        <f t="shared" si="36"/>
        <v>0</v>
      </c>
      <c r="C645" s="2">
        <f t="shared" si="38"/>
        <v>0</v>
      </c>
      <c r="D645" s="2">
        <f t="shared" si="39"/>
        <v>67.050000000000011</v>
      </c>
    </row>
    <row r="646" spans="1:4" s="2" customFormat="1" x14ac:dyDescent="0.25">
      <c r="A646">
        <f t="shared" si="37"/>
        <v>12.519999999999822</v>
      </c>
      <c r="B646" s="2">
        <f t="shared" si="36"/>
        <v>0</v>
      </c>
      <c r="C646" s="2">
        <f t="shared" si="38"/>
        <v>0</v>
      </c>
      <c r="D646" s="2">
        <f t="shared" si="39"/>
        <v>67.050000000000011</v>
      </c>
    </row>
    <row r="647" spans="1:4" s="2" customFormat="1" x14ac:dyDescent="0.25">
      <c r="A647">
        <f t="shared" si="37"/>
        <v>12.539999999999822</v>
      </c>
      <c r="B647" s="2">
        <f t="shared" si="36"/>
        <v>0</v>
      </c>
      <c r="C647" s="2">
        <f t="shared" si="38"/>
        <v>0</v>
      </c>
      <c r="D647" s="2">
        <f t="shared" si="39"/>
        <v>67.050000000000011</v>
      </c>
    </row>
    <row r="648" spans="1:4" s="2" customFormat="1" x14ac:dyDescent="0.25">
      <c r="A648">
        <f t="shared" si="37"/>
        <v>12.559999999999821</v>
      </c>
      <c r="B648" s="2">
        <f t="shared" si="36"/>
        <v>0</v>
      </c>
      <c r="C648" s="2">
        <f t="shared" si="38"/>
        <v>0</v>
      </c>
      <c r="D648" s="2">
        <f t="shared" si="39"/>
        <v>67.050000000000011</v>
      </c>
    </row>
    <row r="649" spans="1:4" s="2" customFormat="1" x14ac:dyDescent="0.25">
      <c r="A649">
        <f t="shared" si="37"/>
        <v>12.579999999999821</v>
      </c>
      <c r="B649" s="2">
        <f t="shared" si="36"/>
        <v>0</v>
      </c>
      <c r="C649" s="2">
        <f t="shared" si="38"/>
        <v>0</v>
      </c>
      <c r="D649" s="2">
        <f t="shared" si="39"/>
        <v>67.050000000000011</v>
      </c>
    </row>
    <row r="650" spans="1:4" s="2" customFormat="1" x14ac:dyDescent="0.25">
      <c r="A650">
        <f t="shared" si="37"/>
        <v>12.59999999999982</v>
      </c>
      <c r="B650" s="2">
        <f t="shared" si="36"/>
        <v>0</v>
      </c>
      <c r="C650" s="2">
        <f t="shared" si="38"/>
        <v>0</v>
      </c>
      <c r="D650" s="2">
        <f t="shared" si="39"/>
        <v>67.050000000000011</v>
      </c>
    </row>
    <row r="651" spans="1:4" s="2" customFormat="1" x14ac:dyDescent="0.25">
      <c r="A651">
        <f t="shared" si="37"/>
        <v>12.61999999999982</v>
      </c>
      <c r="B651" s="2">
        <f t="shared" si="36"/>
        <v>0</v>
      </c>
      <c r="C651" s="2">
        <f t="shared" si="38"/>
        <v>0</v>
      </c>
      <c r="D651" s="2">
        <f t="shared" si="39"/>
        <v>67.050000000000011</v>
      </c>
    </row>
    <row r="652" spans="1:4" s="2" customFormat="1" x14ac:dyDescent="0.25">
      <c r="A652">
        <f t="shared" si="37"/>
        <v>12.639999999999819</v>
      </c>
      <c r="B652" s="2">
        <f t="shared" si="36"/>
        <v>0</v>
      </c>
      <c r="C652" s="2">
        <f t="shared" si="38"/>
        <v>0</v>
      </c>
      <c r="D652" s="2">
        <f t="shared" si="39"/>
        <v>67.050000000000011</v>
      </c>
    </row>
    <row r="653" spans="1:4" s="2" customFormat="1" x14ac:dyDescent="0.25">
      <c r="A653">
        <f t="shared" si="37"/>
        <v>12.659999999999819</v>
      </c>
      <c r="B653" s="2">
        <f t="shared" si="36"/>
        <v>0</v>
      </c>
      <c r="C653" s="2">
        <f t="shared" si="38"/>
        <v>0</v>
      </c>
      <c r="D653" s="2">
        <f t="shared" si="39"/>
        <v>67.050000000000011</v>
      </c>
    </row>
    <row r="654" spans="1:4" s="2" customFormat="1" x14ac:dyDescent="0.25">
      <c r="A654">
        <f t="shared" si="37"/>
        <v>12.679999999999819</v>
      </c>
      <c r="B654" s="2">
        <f t="shared" si="36"/>
        <v>0</v>
      </c>
      <c r="C654" s="2">
        <f t="shared" si="38"/>
        <v>0</v>
      </c>
      <c r="D654" s="2">
        <f t="shared" si="39"/>
        <v>67.050000000000011</v>
      </c>
    </row>
    <row r="655" spans="1:4" s="2" customFormat="1" x14ac:dyDescent="0.25">
      <c r="A655">
        <f t="shared" si="37"/>
        <v>12.699999999999818</v>
      </c>
      <c r="B655" s="2">
        <f t="shared" si="36"/>
        <v>0</v>
      </c>
      <c r="C655" s="2">
        <f t="shared" si="38"/>
        <v>0</v>
      </c>
      <c r="D655" s="2">
        <f t="shared" si="39"/>
        <v>67.050000000000011</v>
      </c>
    </row>
    <row r="656" spans="1:4" s="2" customFormat="1" x14ac:dyDescent="0.25">
      <c r="A656">
        <f t="shared" si="37"/>
        <v>12.719999999999818</v>
      </c>
      <c r="B656" s="2">
        <f t="shared" si="36"/>
        <v>0</v>
      </c>
      <c r="C656" s="2">
        <f t="shared" si="38"/>
        <v>0</v>
      </c>
      <c r="D656" s="2">
        <f t="shared" si="39"/>
        <v>67.050000000000011</v>
      </c>
    </row>
    <row r="657" spans="1:4" s="2" customFormat="1" x14ac:dyDescent="0.25">
      <c r="A657">
        <f t="shared" si="37"/>
        <v>12.739999999999817</v>
      </c>
      <c r="B657" s="2">
        <f t="shared" si="36"/>
        <v>0</v>
      </c>
      <c r="C657" s="2">
        <f t="shared" si="38"/>
        <v>0</v>
      </c>
      <c r="D657" s="2">
        <f t="shared" si="39"/>
        <v>67.050000000000011</v>
      </c>
    </row>
    <row r="658" spans="1:4" s="2" customFormat="1" x14ac:dyDescent="0.25">
      <c r="A658">
        <f t="shared" si="37"/>
        <v>12.759999999999817</v>
      </c>
      <c r="B658" s="2">
        <f t="shared" si="36"/>
        <v>0</v>
      </c>
      <c r="C658" s="2">
        <f t="shared" si="38"/>
        <v>0</v>
      </c>
      <c r="D658" s="2">
        <f t="shared" si="39"/>
        <v>67.050000000000011</v>
      </c>
    </row>
    <row r="659" spans="1:4" s="2" customFormat="1" x14ac:dyDescent="0.25">
      <c r="A659">
        <f t="shared" si="37"/>
        <v>12.779999999999816</v>
      </c>
      <c r="B659" s="2">
        <f t="shared" si="36"/>
        <v>0</v>
      </c>
      <c r="C659" s="2">
        <f t="shared" si="38"/>
        <v>0</v>
      </c>
      <c r="D659" s="2">
        <f t="shared" si="39"/>
        <v>67.050000000000011</v>
      </c>
    </row>
    <row r="660" spans="1:4" s="2" customFormat="1" x14ac:dyDescent="0.25">
      <c r="A660">
        <f t="shared" si="37"/>
        <v>12.799999999999816</v>
      </c>
      <c r="B660" s="2">
        <f t="shared" si="36"/>
        <v>0</v>
      </c>
      <c r="C660" s="2">
        <f t="shared" si="38"/>
        <v>0</v>
      </c>
      <c r="D660" s="2">
        <f t="shared" si="39"/>
        <v>67.050000000000011</v>
      </c>
    </row>
    <row r="661" spans="1:4" s="2" customFormat="1" x14ac:dyDescent="0.25">
      <c r="A661">
        <f t="shared" si="37"/>
        <v>12.819999999999816</v>
      </c>
      <c r="B661" s="2">
        <f t="shared" ref="B661:B724" si="40">MAX(0,IF(A661&lt;$B$14,B660+$B$8,IF(AND(A661&gt;=$B$14,A661&lt;=$B$15),$B$11/$B$2,B660-$B$8)))</f>
        <v>0</v>
      </c>
      <c r="C661" s="2">
        <f t="shared" si="38"/>
        <v>0</v>
      </c>
      <c r="D661" s="2">
        <f t="shared" si="39"/>
        <v>67.050000000000011</v>
      </c>
    </row>
    <row r="662" spans="1:4" s="2" customFormat="1" x14ac:dyDescent="0.25">
      <c r="A662">
        <f t="shared" ref="A662:A725" si="41">A661+$B$1</f>
        <v>12.839999999999815</v>
      </c>
      <c r="B662" s="2">
        <f t="shared" si="40"/>
        <v>0</v>
      </c>
      <c r="C662" s="2">
        <f t="shared" ref="C662:C725" si="42">B662*$B$2</f>
        <v>0</v>
      </c>
      <c r="D662" s="2">
        <f t="shared" ref="D662:D725" si="43">D661+C661*$B$1</f>
        <v>67.050000000000011</v>
      </c>
    </row>
    <row r="663" spans="1:4" s="2" customFormat="1" x14ac:dyDescent="0.25">
      <c r="A663">
        <f t="shared" si="41"/>
        <v>12.859999999999815</v>
      </c>
      <c r="B663" s="2">
        <f t="shared" si="40"/>
        <v>0</v>
      </c>
      <c r="C663" s="2">
        <f t="shared" si="42"/>
        <v>0</v>
      </c>
      <c r="D663" s="2">
        <f t="shared" si="43"/>
        <v>67.050000000000011</v>
      </c>
    </row>
    <row r="664" spans="1:4" s="2" customFormat="1" x14ac:dyDescent="0.25">
      <c r="A664">
        <f t="shared" si="41"/>
        <v>12.879999999999814</v>
      </c>
      <c r="B664" s="2">
        <f t="shared" si="40"/>
        <v>0</v>
      </c>
      <c r="C664" s="2">
        <f t="shared" si="42"/>
        <v>0</v>
      </c>
      <c r="D664" s="2">
        <f t="shared" si="43"/>
        <v>67.050000000000011</v>
      </c>
    </row>
    <row r="665" spans="1:4" s="2" customFormat="1" x14ac:dyDescent="0.25">
      <c r="A665">
        <f t="shared" si="41"/>
        <v>12.899999999999814</v>
      </c>
      <c r="B665" s="2">
        <f t="shared" si="40"/>
        <v>0</v>
      </c>
      <c r="C665" s="2">
        <f t="shared" si="42"/>
        <v>0</v>
      </c>
      <c r="D665" s="2">
        <f t="shared" si="43"/>
        <v>67.050000000000011</v>
      </c>
    </row>
    <row r="666" spans="1:4" s="2" customFormat="1" x14ac:dyDescent="0.25">
      <c r="A666">
        <f t="shared" si="41"/>
        <v>12.919999999999813</v>
      </c>
      <c r="B666" s="2">
        <f t="shared" si="40"/>
        <v>0</v>
      </c>
      <c r="C666" s="2">
        <f t="shared" si="42"/>
        <v>0</v>
      </c>
      <c r="D666" s="2">
        <f t="shared" si="43"/>
        <v>67.050000000000011</v>
      </c>
    </row>
    <row r="667" spans="1:4" s="2" customFormat="1" x14ac:dyDescent="0.25">
      <c r="A667">
        <f t="shared" si="41"/>
        <v>12.939999999999813</v>
      </c>
      <c r="B667" s="2">
        <f t="shared" si="40"/>
        <v>0</v>
      </c>
      <c r="C667" s="2">
        <f t="shared" si="42"/>
        <v>0</v>
      </c>
      <c r="D667" s="2">
        <f t="shared" si="43"/>
        <v>67.050000000000011</v>
      </c>
    </row>
    <row r="668" spans="1:4" s="2" customFormat="1" x14ac:dyDescent="0.25">
      <c r="A668">
        <f t="shared" si="41"/>
        <v>12.959999999999813</v>
      </c>
      <c r="B668" s="2">
        <f t="shared" si="40"/>
        <v>0</v>
      </c>
      <c r="C668" s="2">
        <f t="shared" si="42"/>
        <v>0</v>
      </c>
      <c r="D668" s="2">
        <f t="shared" si="43"/>
        <v>67.050000000000011</v>
      </c>
    </row>
    <row r="669" spans="1:4" s="2" customFormat="1" x14ac:dyDescent="0.25">
      <c r="A669">
        <f t="shared" si="41"/>
        <v>12.979999999999812</v>
      </c>
      <c r="B669" s="2">
        <f t="shared" si="40"/>
        <v>0</v>
      </c>
      <c r="C669" s="2">
        <f t="shared" si="42"/>
        <v>0</v>
      </c>
      <c r="D669" s="2">
        <f t="shared" si="43"/>
        <v>67.050000000000011</v>
      </c>
    </row>
    <row r="670" spans="1:4" s="2" customFormat="1" x14ac:dyDescent="0.25">
      <c r="A670">
        <f t="shared" si="41"/>
        <v>12.999999999999812</v>
      </c>
      <c r="B670" s="2">
        <f t="shared" si="40"/>
        <v>0</v>
      </c>
      <c r="C670" s="2">
        <f t="shared" si="42"/>
        <v>0</v>
      </c>
      <c r="D670" s="2">
        <f t="shared" si="43"/>
        <v>67.050000000000011</v>
      </c>
    </row>
    <row r="671" spans="1:4" s="2" customFormat="1" x14ac:dyDescent="0.25">
      <c r="A671">
        <f t="shared" si="41"/>
        <v>13.019999999999811</v>
      </c>
      <c r="B671" s="2">
        <f t="shared" si="40"/>
        <v>0</v>
      </c>
      <c r="C671" s="2">
        <f t="shared" si="42"/>
        <v>0</v>
      </c>
      <c r="D671" s="2">
        <f t="shared" si="43"/>
        <v>67.050000000000011</v>
      </c>
    </row>
    <row r="672" spans="1:4" s="2" customFormat="1" x14ac:dyDescent="0.25">
      <c r="A672">
        <f t="shared" si="41"/>
        <v>13.039999999999811</v>
      </c>
      <c r="B672" s="2">
        <f t="shared" si="40"/>
        <v>0</v>
      </c>
      <c r="C672" s="2">
        <f t="shared" si="42"/>
        <v>0</v>
      </c>
      <c r="D672" s="2">
        <f t="shared" si="43"/>
        <v>67.050000000000011</v>
      </c>
    </row>
    <row r="673" spans="1:4" s="2" customFormat="1" x14ac:dyDescent="0.25">
      <c r="A673">
        <f t="shared" si="41"/>
        <v>13.05999999999981</v>
      </c>
      <c r="B673" s="2">
        <f t="shared" si="40"/>
        <v>0</v>
      </c>
      <c r="C673" s="2">
        <f t="shared" si="42"/>
        <v>0</v>
      </c>
      <c r="D673" s="2">
        <f t="shared" si="43"/>
        <v>67.050000000000011</v>
      </c>
    </row>
    <row r="674" spans="1:4" s="2" customFormat="1" x14ac:dyDescent="0.25">
      <c r="A674">
        <f t="shared" si="41"/>
        <v>13.07999999999981</v>
      </c>
      <c r="B674" s="2">
        <f t="shared" si="40"/>
        <v>0</v>
      </c>
      <c r="C674" s="2">
        <f t="shared" si="42"/>
        <v>0</v>
      </c>
      <c r="D674" s="2">
        <f t="shared" si="43"/>
        <v>67.050000000000011</v>
      </c>
    </row>
    <row r="675" spans="1:4" s="2" customFormat="1" x14ac:dyDescent="0.25">
      <c r="A675">
        <f t="shared" si="41"/>
        <v>13.09999999999981</v>
      </c>
      <c r="B675" s="2">
        <f t="shared" si="40"/>
        <v>0</v>
      </c>
      <c r="C675" s="2">
        <f t="shared" si="42"/>
        <v>0</v>
      </c>
      <c r="D675" s="2">
        <f t="shared" si="43"/>
        <v>67.050000000000011</v>
      </c>
    </row>
    <row r="676" spans="1:4" s="2" customFormat="1" x14ac:dyDescent="0.25">
      <c r="A676">
        <f t="shared" si="41"/>
        <v>13.119999999999809</v>
      </c>
      <c r="B676" s="2">
        <f t="shared" si="40"/>
        <v>0</v>
      </c>
      <c r="C676" s="2">
        <f t="shared" si="42"/>
        <v>0</v>
      </c>
      <c r="D676" s="2">
        <f t="shared" si="43"/>
        <v>67.050000000000011</v>
      </c>
    </row>
    <row r="677" spans="1:4" s="2" customFormat="1" x14ac:dyDescent="0.25">
      <c r="A677">
        <f t="shared" si="41"/>
        <v>13.139999999999809</v>
      </c>
      <c r="B677" s="2">
        <f t="shared" si="40"/>
        <v>0</v>
      </c>
      <c r="C677" s="2">
        <f t="shared" si="42"/>
        <v>0</v>
      </c>
      <c r="D677" s="2">
        <f t="shared" si="43"/>
        <v>67.050000000000011</v>
      </c>
    </row>
    <row r="678" spans="1:4" s="2" customFormat="1" x14ac:dyDescent="0.25">
      <c r="A678">
        <f t="shared" si="41"/>
        <v>13.159999999999808</v>
      </c>
      <c r="B678" s="2">
        <f t="shared" si="40"/>
        <v>0</v>
      </c>
      <c r="C678" s="2">
        <f t="shared" si="42"/>
        <v>0</v>
      </c>
      <c r="D678" s="2">
        <f t="shared" si="43"/>
        <v>67.050000000000011</v>
      </c>
    </row>
    <row r="679" spans="1:4" s="2" customFormat="1" x14ac:dyDescent="0.25">
      <c r="A679">
        <f t="shared" si="41"/>
        <v>13.179999999999808</v>
      </c>
      <c r="B679" s="2">
        <f t="shared" si="40"/>
        <v>0</v>
      </c>
      <c r="C679" s="2">
        <f t="shared" si="42"/>
        <v>0</v>
      </c>
      <c r="D679" s="2">
        <f t="shared" si="43"/>
        <v>67.050000000000011</v>
      </c>
    </row>
    <row r="680" spans="1:4" s="2" customFormat="1" x14ac:dyDescent="0.25">
      <c r="A680">
        <f t="shared" si="41"/>
        <v>13.199999999999807</v>
      </c>
      <c r="B680" s="2">
        <f t="shared" si="40"/>
        <v>0</v>
      </c>
      <c r="C680" s="2">
        <f t="shared" si="42"/>
        <v>0</v>
      </c>
      <c r="D680" s="2">
        <f t="shared" si="43"/>
        <v>67.050000000000011</v>
      </c>
    </row>
    <row r="681" spans="1:4" s="2" customFormat="1" x14ac:dyDescent="0.25">
      <c r="A681">
        <f t="shared" si="41"/>
        <v>13.219999999999807</v>
      </c>
      <c r="B681" s="2">
        <f t="shared" si="40"/>
        <v>0</v>
      </c>
      <c r="C681" s="2">
        <f t="shared" si="42"/>
        <v>0</v>
      </c>
      <c r="D681" s="2">
        <f t="shared" si="43"/>
        <v>67.050000000000011</v>
      </c>
    </row>
    <row r="682" spans="1:4" s="2" customFormat="1" x14ac:dyDescent="0.25">
      <c r="A682">
        <f t="shared" si="41"/>
        <v>13.239999999999807</v>
      </c>
      <c r="B682" s="2">
        <f t="shared" si="40"/>
        <v>0</v>
      </c>
      <c r="C682" s="2">
        <f t="shared" si="42"/>
        <v>0</v>
      </c>
      <c r="D682" s="2">
        <f t="shared" si="43"/>
        <v>67.050000000000011</v>
      </c>
    </row>
    <row r="683" spans="1:4" s="2" customFormat="1" x14ac:dyDescent="0.25">
      <c r="A683">
        <f t="shared" si="41"/>
        <v>13.259999999999806</v>
      </c>
      <c r="B683" s="2">
        <f t="shared" si="40"/>
        <v>0</v>
      </c>
      <c r="C683" s="2">
        <f t="shared" si="42"/>
        <v>0</v>
      </c>
      <c r="D683" s="2">
        <f t="shared" si="43"/>
        <v>67.050000000000011</v>
      </c>
    </row>
    <row r="684" spans="1:4" s="2" customFormat="1" x14ac:dyDescent="0.25">
      <c r="A684">
        <f t="shared" si="41"/>
        <v>13.279999999999806</v>
      </c>
      <c r="B684" s="2">
        <f t="shared" si="40"/>
        <v>0</v>
      </c>
      <c r="C684" s="2">
        <f t="shared" si="42"/>
        <v>0</v>
      </c>
      <c r="D684" s="2">
        <f t="shared" si="43"/>
        <v>67.050000000000011</v>
      </c>
    </row>
    <row r="685" spans="1:4" s="2" customFormat="1" x14ac:dyDescent="0.25">
      <c r="A685">
        <f t="shared" si="41"/>
        <v>13.299999999999805</v>
      </c>
      <c r="B685" s="2">
        <f t="shared" si="40"/>
        <v>0</v>
      </c>
      <c r="C685" s="2">
        <f t="shared" si="42"/>
        <v>0</v>
      </c>
      <c r="D685" s="2">
        <f t="shared" si="43"/>
        <v>67.050000000000011</v>
      </c>
    </row>
    <row r="686" spans="1:4" s="2" customFormat="1" x14ac:dyDescent="0.25">
      <c r="A686">
        <f t="shared" si="41"/>
        <v>13.319999999999805</v>
      </c>
      <c r="B686" s="2">
        <f t="shared" si="40"/>
        <v>0</v>
      </c>
      <c r="C686" s="2">
        <f t="shared" si="42"/>
        <v>0</v>
      </c>
      <c r="D686" s="2">
        <f t="shared" si="43"/>
        <v>67.050000000000011</v>
      </c>
    </row>
    <row r="687" spans="1:4" s="2" customFormat="1" x14ac:dyDescent="0.25">
      <c r="A687">
        <f t="shared" si="41"/>
        <v>13.339999999999804</v>
      </c>
      <c r="B687" s="2">
        <f t="shared" si="40"/>
        <v>0</v>
      </c>
      <c r="C687" s="2">
        <f t="shared" si="42"/>
        <v>0</v>
      </c>
      <c r="D687" s="2">
        <f t="shared" si="43"/>
        <v>67.050000000000011</v>
      </c>
    </row>
    <row r="688" spans="1:4" s="2" customFormat="1" x14ac:dyDescent="0.25">
      <c r="A688">
        <f t="shared" si="41"/>
        <v>13.359999999999804</v>
      </c>
      <c r="B688" s="2">
        <f t="shared" si="40"/>
        <v>0</v>
      </c>
      <c r="C688" s="2">
        <f t="shared" si="42"/>
        <v>0</v>
      </c>
      <c r="D688" s="2">
        <f t="shared" si="43"/>
        <v>67.050000000000011</v>
      </c>
    </row>
    <row r="689" spans="1:4" s="2" customFormat="1" x14ac:dyDescent="0.25">
      <c r="A689">
        <f t="shared" si="41"/>
        <v>13.379999999999804</v>
      </c>
      <c r="B689" s="2">
        <f t="shared" si="40"/>
        <v>0</v>
      </c>
      <c r="C689" s="2">
        <f t="shared" si="42"/>
        <v>0</v>
      </c>
      <c r="D689" s="2">
        <f t="shared" si="43"/>
        <v>67.050000000000011</v>
      </c>
    </row>
    <row r="690" spans="1:4" s="2" customFormat="1" x14ac:dyDescent="0.25">
      <c r="A690">
        <f t="shared" si="41"/>
        <v>13.399999999999803</v>
      </c>
      <c r="B690" s="2">
        <f t="shared" si="40"/>
        <v>0</v>
      </c>
      <c r="C690" s="2">
        <f t="shared" si="42"/>
        <v>0</v>
      </c>
      <c r="D690" s="2">
        <f t="shared" si="43"/>
        <v>67.050000000000011</v>
      </c>
    </row>
    <row r="691" spans="1:4" s="2" customFormat="1" x14ac:dyDescent="0.25">
      <c r="A691">
        <f t="shared" si="41"/>
        <v>13.419999999999803</v>
      </c>
      <c r="B691" s="2">
        <f t="shared" si="40"/>
        <v>0</v>
      </c>
      <c r="C691" s="2">
        <f t="shared" si="42"/>
        <v>0</v>
      </c>
      <c r="D691" s="2">
        <f t="shared" si="43"/>
        <v>67.050000000000011</v>
      </c>
    </row>
    <row r="692" spans="1:4" s="2" customFormat="1" x14ac:dyDescent="0.25">
      <c r="A692">
        <f t="shared" si="41"/>
        <v>13.439999999999802</v>
      </c>
      <c r="B692" s="2">
        <f t="shared" si="40"/>
        <v>0</v>
      </c>
      <c r="C692" s="2">
        <f t="shared" si="42"/>
        <v>0</v>
      </c>
      <c r="D692" s="2">
        <f t="shared" si="43"/>
        <v>67.050000000000011</v>
      </c>
    </row>
    <row r="693" spans="1:4" s="2" customFormat="1" x14ac:dyDescent="0.25">
      <c r="A693">
        <f t="shared" si="41"/>
        <v>13.459999999999802</v>
      </c>
      <c r="B693" s="2">
        <f t="shared" si="40"/>
        <v>0</v>
      </c>
      <c r="C693" s="2">
        <f t="shared" si="42"/>
        <v>0</v>
      </c>
      <c r="D693" s="2">
        <f t="shared" si="43"/>
        <v>67.050000000000011</v>
      </c>
    </row>
    <row r="694" spans="1:4" s="2" customFormat="1" x14ac:dyDescent="0.25">
      <c r="A694">
        <f t="shared" si="41"/>
        <v>13.479999999999801</v>
      </c>
      <c r="B694" s="2">
        <f t="shared" si="40"/>
        <v>0</v>
      </c>
      <c r="C694" s="2">
        <f t="shared" si="42"/>
        <v>0</v>
      </c>
      <c r="D694" s="2">
        <f t="shared" si="43"/>
        <v>67.050000000000011</v>
      </c>
    </row>
    <row r="695" spans="1:4" s="2" customFormat="1" x14ac:dyDescent="0.25">
      <c r="A695">
        <f t="shared" si="41"/>
        <v>13.499999999999801</v>
      </c>
      <c r="B695" s="2">
        <f t="shared" si="40"/>
        <v>0</v>
      </c>
      <c r="C695" s="2">
        <f t="shared" si="42"/>
        <v>0</v>
      </c>
      <c r="D695" s="2">
        <f t="shared" si="43"/>
        <v>67.050000000000011</v>
      </c>
    </row>
    <row r="696" spans="1:4" s="2" customFormat="1" x14ac:dyDescent="0.25">
      <c r="A696">
        <f t="shared" si="41"/>
        <v>13.519999999999801</v>
      </c>
      <c r="B696" s="2">
        <f t="shared" si="40"/>
        <v>0</v>
      </c>
      <c r="C696" s="2">
        <f t="shared" si="42"/>
        <v>0</v>
      </c>
      <c r="D696" s="2">
        <f t="shared" si="43"/>
        <v>67.050000000000011</v>
      </c>
    </row>
    <row r="697" spans="1:4" s="2" customFormat="1" x14ac:dyDescent="0.25">
      <c r="A697">
        <f t="shared" si="41"/>
        <v>13.5399999999998</v>
      </c>
      <c r="B697" s="2">
        <f t="shared" si="40"/>
        <v>0</v>
      </c>
      <c r="C697" s="2">
        <f t="shared" si="42"/>
        <v>0</v>
      </c>
      <c r="D697" s="2">
        <f t="shared" si="43"/>
        <v>67.050000000000011</v>
      </c>
    </row>
    <row r="698" spans="1:4" s="2" customFormat="1" x14ac:dyDescent="0.25">
      <c r="A698">
        <f t="shared" si="41"/>
        <v>13.5599999999998</v>
      </c>
      <c r="B698" s="2">
        <f t="shared" si="40"/>
        <v>0</v>
      </c>
      <c r="C698" s="2">
        <f t="shared" si="42"/>
        <v>0</v>
      </c>
      <c r="D698" s="2">
        <f t="shared" si="43"/>
        <v>67.050000000000011</v>
      </c>
    </row>
    <row r="699" spans="1:4" s="2" customFormat="1" x14ac:dyDescent="0.25">
      <c r="A699">
        <f t="shared" si="41"/>
        <v>13.579999999999799</v>
      </c>
      <c r="B699" s="2">
        <f t="shared" si="40"/>
        <v>0</v>
      </c>
      <c r="C699" s="2">
        <f t="shared" si="42"/>
        <v>0</v>
      </c>
      <c r="D699" s="2">
        <f t="shared" si="43"/>
        <v>67.050000000000011</v>
      </c>
    </row>
    <row r="700" spans="1:4" s="2" customFormat="1" x14ac:dyDescent="0.25">
      <c r="A700">
        <f t="shared" si="41"/>
        <v>13.599999999999799</v>
      </c>
      <c r="B700" s="2">
        <f t="shared" si="40"/>
        <v>0</v>
      </c>
      <c r="C700" s="2">
        <f t="shared" si="42"/>
        <v>0</v>
      </c>
      <c r="D700" s="2">
        <f t="shared" si="43"/>
        <v>67.050000000000011</v>
      </c>
    </row>
    <row r="701" spans="1:4" s="2" customFormat="1" x14ac:dyDescent="0.25">
      <c r="A701">
        <f t="shared" si="41"/>
        <v>13.619999999999798</v>
      </c>
      <c r="B701" s="2">
        <f t="shared" si="40"/>
        <v>0</v>
      </c>
      <c r="C701" s="2">
        <f t="shared" si="42"/>
        <v>0</v>
      </c>
      <c r="D701" s="2">
        <f t="shared" si="43"/>
        <v>67.050000000000011</v>
      </c>
    </row>
    <row r="702" spans="1:4" s="2" customFormat="1" x14ac:dyDescent="0.25">
      <c r="A702">
        <f t="shared" si="41"/>
        <v>13.639999999999798</v>
      </c>
      <c r="B702" s="2">
        <f t="shared" si="40"/>
        <v>0</v>
      </c>
      <c r="C702" s="2">
        <f t="shared" si="42"/>
        <v>0</v>
      </c>
      <c r="D702" s="2">
        <f t="shared" si="43"/>
        <v>67.050000000000011</v>
      </c>
    </row>
    <row r="703" spans="1:4" s="2" customFormat="1" x14ac:dyDescent="0.25">
      <c r="A703">
        <f t="shared" si="41"/>
        <v>13.659999999999798</v>
      </c>
      <c r="B703" s="2">
        <f t="shared" si="40"/>
        <v>0</v>
      </c>
      <c r="C703" s="2">
        <f t="shared" si="42"/>
        <v>0</v>
      </c>
      <c r="D703" s="2">
        <f t="shared" si="43"/>
        <v>67.050000000000011</v>
      </c>
    </row>
    <row r="704" spans="1:4" s="2" customFormat="1" x14ac:dyDescent="0.25">
      <c r="A704">
        <f t="shared" si="41"/>
        <v>13.679999999999797</v>
      </c>
      <c r="B704" s="2">
        <f t="shared" si="40"/>
        <v>0</v>
      </c>
      <c r="C704" s="2">
        <f t="shared" si="42"/>
        <v>0</v>
      </c>
      <c r="D704" s="2">
        <f t="shared" si="43"/>
        <v>67.050000000000011</v>
      </c>
    </row>
    <row r="705" spans="1:4" s="2" customFormat="1" x14ac:dyDescent="0.25">
      <c r="A705">
        <f t="shared" si="41"/>
        <v>13.699999999999797</v>
      </c>
      <c r="B705" s="2">
        <f t="shared" si="40"/>
        <v>0</v>
      </c>
      <c r="C705" s="2">
        <f t="shared" si="42"/>
        <v>0</v>
      </c>
      <c r="D705" s="2">
        <f t="shared" si="43"/>
        <v>67.050000000000011</v>
      </c>
    </row>
    <row r="706" spans="1:4" s="2" customFormat="1" x14ac:dyDescent="0.25">
      <c r="A706">
        <f t="shared" si="41"/>
        <v>13.719999999999796</v>
      </c>
      <c r="B706" s="2">
        <f t="shared" si="40"/>
        <v>0</v>
      </c>
      <c r="C706" s="2">
        <f t="shared" si="42"/>
        <v>0</v>
      </c>
      <c r="D706" s="2">
        <f t="shared" si="43"/>
        <v>67.050000000000011</v>
      </c>
    </row>
    <row r="707" spans="1:4" s="2" customFormat="1" x14ac:dyDescent="0.25">
      <c r="A707">
        <f t="shared" si="41"/>
        <v>13.739999999999796</v>
      </c>
      <c r="B707" s="2">
        <f t="shared" si="40"/>
        <v>0</v>
      </c>
      <c r="C707" s="2">
        <f t="shared" si="42"/>
        <v>0</v>
      </c>
      <c r="D707" s="2">
        <f t="shared" si="43"/>
        <v>67.050000000000011</v>
      </c>
    </row>
    <row r="708" spans="1:4" s="2" customFormat="1" x14ac:dyDescent="0.25">
      <c r="A708">
        <f t="shared" si="41"/>
        <v>13.759999999999796</v>
      </c>
      <c r="B708" s="2">
        <f t="shared" si="40"/>
        <v>0</v>
      </c>
      <c r="C708" s="2">
        <f t="shared" si="42"/>
        <v>0</v>
      </c>
      <c r="D708" s="2">
        <f t="shared" si="43"/>
        <v>67.050000000000011</v>
      </c>
    </row>
    <row r="709" spans="1:4" s="2" customFormat="1" x14ac:dyDescent="0.25">
      <c r="A709">
        <f t="shared" si="41"/>
        <v>13.779999999999795</v>
      </c>
      <c r="B709" s="2">
        <f t="shared" si="40"/>
        <v>0</v>
      </c>
      <c r="C709" s="2">
        <f t="shared" si="42"/>
        <v>0</v>
      </c>
      <c r="D709" s="2">
        <f t="shared" si="43"/>
        <v>67.050000000000011</v>
      </c>
    </row>
    <row r="710" spans="1:4" s="2" customFormat="1" x14ac:dyDescent="0.25">
      <c r="A710">
        <f t="shared" si="41"/>
        <v>13.799999999999795</v>
      </c>
      <c r="B710" s="2">
        <f t="shared" si="40"/>
        <v>0</v>
      </c>
      <c r="C710" s="2">
        <f t="shared" si="42"/>
        <v>0</v>
      </c>
      <c r="D710" s="2">
        <f t="shared" si="43"/>
        <v>67.050000000000011</v>
      </c>
    </row>
    <row r="711" spans="1:4" s="2" customFormat="1" x14ac:dyDescent="0.25">
      <c r="A711">
        <f t="shared" si="41"/>
        <v>13.819999999999794</v>
      </c>
      <c r="B711" s="2">
        <f t="shared" si="40"/>
        <v>0</v>
      </c>
      <c r="C711" s="2">
        <f t="shared" si="42"/>
        <v>0</v>
      </c>
      <c r="D711" s="2">
        <f t="shared" si="43"/>
        <v>67.050000000000011</v>
      </c>
    </row>
    <row r="712" spans="1:4" s="2" customFormat="1" x14ac:dyDescent="0.25">
      <c r="A712">
        <f t="shared" si="41"/>
        <v>13.839999999999794</v>
      </c>
      <c r="B712" s="2">
        <f t="shared" si="40"/>
        <v>0</v>
      </c>
      <c r="C712" s="2">
        <f t="shared" si="42"/>
        <v>0</v>
      </c>
      <c r="D712" s="2">
        <f t="shared" si="43"/>
        <v>67.050000000000011</v>
      </c>
    </row>
    <row r="713" spans="1:4" s="2" customFormat="1" x14ac:dyDescent="0.25">
      <c r="A713">
        <f t="shared" si="41"/>
        <v>13.859999999999793</v>
      </c>
      <c r="B713" s="2">
        <f t="shared" si="40"/>
        <v>0</v>
      </c>
      <c r="C713" s="2">
        <f t="shared" si="42"/>
        <v>0</v>
      </c>
      <c r="D713" s="2">
        <f t="shared" si="43"/>
        <v>67.050000000000011</v>
      </c>
    </row>
    <row r="714" spans="1:4" s="2" customFormat="1" x14ac:dyDescent="0.25">
      <c r="A714">
        <f t="shared" si="41"/>
        <v>13.879999999999793</v>
      </c>
      <c r="B714" s="2">
        <f t="shared" si="40"/>
        <v>0</v>
      </c>
      <c r="C714" s="2">
        <f t="shared" si="42"/>
        <v>0</v>
      </c>
      <c r="D714" s="2">
        <f t="shared" si="43"/>
        <v>67.050000000000011</v>
      </c>
    </row>
    <row r="715" spans="1:4" s="2" customFormat="1" x14ac:dyDescent="0.25">
      <c r="A715">
        <f t="shared" si="41"/>
        <v>13.899999999999793</v>
      </c>
      <c r="B715" s="2">
        <f t="shared" si="40"/>
        <v>0</v>
      </c>
      <c r="C715" s="2">
        <f t="shared" si="42"/>
        <v>0</v>
      </c>
      <c r="D715" s="2">
        <f t="shared" si="43"/>
        <v>67.050000000000011</v>
      </c>
    </row>
    <row r="716" spans="1:4" s="2" customFormat="1" x14ac:dyDescent="0.25">
      <c r="A716">
        <f t="shared" si="41"/>
        <v>13.919999999999792</v>
      </c>
      <c r="B716" s="2">
        <f t="shared" si="40"/>
        <v>0</v>
      </c>
      <c r="C716" s="2">
        <f t="shared" si="42"/>
        <v>0</v>
      </c>
      <c r="D716" s="2">
        <f t="shared" si="43"/>
        <v>67.050000000000011</v>
      </c>
    </row>
    <row r="717" spans="1:4" s="2" customFormat="1" x14ac:dyDescent="0.25">
      <c r="A717">
        <f t="shared" si="41"/>
        <v>13.939999999999792</v>
      </c>
      <c r="B717" s="2">
        <f t="shared" si="40"/>
        <v>0</v>
      </c>
      <c r="C717" s="2">
        <f t="shared" si="42"/>
        <v>0</v>
      </c>
      <c r="D717" s="2">
        <f t="shared" si="43"/>
        <v>67.050000000000011</v>
      </c>
    </row>
    <row r="718" spans="1:4" s="2" customFormat="1" x14ac:dyDescent="0.25">
      <c r="A718">
        <f t="shared" si="41"/>
        <v>13.959999999999791</v>
      </c>
      <c r="B718" s="2">
        <f t="shared" si="40"/>
        <v>0</v>
      </c>
      <c r="C718" s="2">
        <f t="shared" si="42"/>
        <v>0</v>
      </c>
      <c r="D718" s="2">
        <f t="shared" si="43"/>
        <v>67.050000000000011</v>
      </c>
    </row>
    <row r="719" spans="1:4" s="2" customFormat="1" x14ac:dyDescent="0.25">
      <c r="A719">
        <f t="shared" si="41"/>
        <v>13.979999999999791</v>
      </c>
      <c r="B719" s="2">
        <f t="shared" si="40"/>
        <v>0</v>
      </c>
      <c r="C719" s="2">
        <f t="shared" si="42"/>
        <v>0</v>
      </c>
      <c r="D719" s="2">
        <f t="shared" si="43"/>
        <v>67.050000000000011</v>
      </c>
    </row>
    <row r="720" spans="1:4" s="2" customFormat="1" x14ac:dyDescent="0.25">
      <c r="A720">
        <f t="shared" si="41"/>
        <v>13.99999999999979</v>
      </c>
      <c r="B720" s="2">
        <f t="shared" si="40"/>
        <v>0</v>
      </c>
      <c r="C720" s="2">
        <f t="shared" si="42"/>
        <v>0</v>
      </c>
      <c r="D720" s="2">
        <f t="shared" si="43"/>
        <v>67.050000000000011</v>
      </c>
    </row>
    <row r="721" spans="1:4" s="2" customFormat="1" x14ac:dyDescent="0.25">
      <c r="A721">
        <f t="shared" si="41"/>
        <v>14.01999999999979</v>
      </c>
      <c r="B721" s="2">
        <f t="shared" si="40"/>
        <v>0</v>
      </c>
      <c r="C721" s="2">
        <f t="shared" si="42"/>
        <v>0</v>
      </c>
      <c r="D721" s="2">
        <f t="shared" si="43"/>
        <v>67.050000000000011</v>
      </c>
    </row>
    <row r="722" spans="1:4" s="2" customFormat="1" x14ac:dyDescent="0.25">
      <c r="A722">
        <f t="shared" si="41"/>
        <v>14.03999999999979</v>
      </c>
      <c r="B722" s="2">
        <f t="shared" si="40"/>
        <v>0</v>
      </c>
      <c r="C722" s="2">
        <f t="shared" si="42"/>
        <v>0</v>
      </c>
      <c r="D722" s="2">
        <f t="shared" si="43"/>
        <v>67.050000000000011</v>
      </c>
    </row>
    <row r="723" spans="1:4" s="2" customFormat="1" x14ac:dyDescent="0.25">
      <c r="A723">
        <f t="shared" si="41"/>
        <v>14.059999999999789</v>
      </c>
      <c r="B723" s="2">
        <f t="shared" si="40"/>
        <v>0</v>
      </c>
      <c r="C723" s="2">
        <f t="shared" si="42"/>
        <v>0</v>
      </c>
      <c r="D723" s="2">
        <f t="shared" si="43"/>
        <v>67.050000000000011</v>
      </c>
    </row>
    <row r="724" spans="1:4" s="2" customFormat="1" x14ac:dyDescent="0.25">
      <c r="A724">
        <f t="shared" si="41"/>
        <v>14.079999999999789</v>
      </c>
      <c r="B724" s="2">
        <f t="shared" si="40"/>
        <v>0</v>
      </c>
      <c r="C724" s="2">
        <f t="shared" si="42"/>
        <v>0</v>
      </c>
      <c r="D724" s="2">
        <f t="shared" si="43"/>
        <v>67.050000000000011</v>
      </c>
    </row>
    <row r="725" spans="1:4" s="2" customFormat="1" x14ac:dyDescent="0.25">
      <c r="A725">
        <f t="shared" si="41"/>
        <v>14.099999999999788</v>
      </c>
      <c r="B725" s="2">
        <f t="shared" ref="B725:B731" si="44">MAX(0,IF(A725&lt;$B$14,B724+$B$8,IF(AND(A725&gt;=$B$14,A725&lt;=$B$15),$B$11/$B$2,B724-$B$8)))</f>
        <v>0</v>
      </c>
      <c r="C725" s="2">
        <f t="shared" si="42"/>
        <v>0</v>
      </c>
      <c r="D725" s="2">
        <f t="shared" si="43"/>
        <v>67.050000000000011</v>
      </c>
    </row>
    <row r="726" spans="1:4" s="2" customFormat="1" x14ac:dyDescent="0.25">
      <c r="A726">
        <f t="shared" ref="A726:A731" si="45">A725+$B$1</f>
        <v>14.119999999999788</v>
      </c>
      <c r="B726" s="2">
        <f t="shared" si="44"/>
        <v>0</v>
      </c>
      <c r="C726" s="2">
        <f t="shared" ref="C726:C731" si="46">B726*$B$2</f>
        <v>0</v>
      </c>
      <c r="D726" s="2">
        <f t="shared" ref="D726:D731" si="47">D725+C725*$B$1</f>
        <v>67.050000000000011</v>
      </c>
    </row>
    <row r="727" spans="1:4" s="2" customFormat="1" x14ac:dyDescent="0.25">
      <c r="A727">
        <f t="shared" si="45"/>
        <v>14.139999999999787</v>
      </c>
      <c r="B727" s="2">
        <f t="shared" si="44"/>
        <v>0</v>
      </c>
      <c r="C727" s="2">
        <f t="shared" si="46"/>
        <v>0</v>
      </c>
      <c r="D727" s="2">
        <f t="shared" si="47"/>
        <v>67.050000000000011</v>
      </c>
    </row>
    <row r="728" spans="1:4" s="2" customFormat="1" x14ac:dyDescent="0.25">
      <c r="A728">
        <f t="shared" si="45"/>
        <v>14.159999999999787</v>
      </c>
      <c r="B728" s="2">
        <f t="shared" si="44"/>
        <v>0</v>
      </c>
      <c r="C728" s="2">
        <f t="shared" si="46"/>
        <v>0</v>
      </c>
      <c r="D728" s="2">
        <f t="shared" si="47"/>
        <v>67.050000000000011</v>
      </c>
    </row>
    <row r="729" spans="1:4" s="2" customFormat="1" x14ac:dyDescent="0.25">
      <c r="A729">
        <f t="shared" si="45"/>
        <v>14.179999999999787</v>
      </c>
      <c r="B729" s="2">
        <f t="shared" si="44"/>
        <v>0</v>
      </c>
      <c r="C729" s="2">
        <f t="shared" si="46"/>
        <v>0</v>
      </c>
      <c r="D729" s="2">
        <f t="shared" si="47"/>
        <v>67.050000000000011</v>
      </c>
    </row>
    <row r="730" spans="1:4" s="2" customFormat="1" x14ac:dyDescent="0.25">
      <c r="A730">
        <f t="shared" si="45"/>
        <v>14.199999999999786</v>
      </c>
      <c r="B730" s="2">
        <f t="shared" si="44"/>
        <v>0</v>
      </c>
      <c r="C730" s="2">
        <f t="shared" si="46"/>
        <v>0</v>
      </c>
      <c r="D730" s="2">
        <f t="shared" si="47"/>
        <v>67.050000000000011</v>
      </c>
    </row>
    <row r="731" spans="1:4" s="2" customFormat="1" x14ac:dyDescent="0.25">
      <c r="A731">
        <f t="shared" si="45"/>
        <v>14.219999999999786</v>
      </c>
      <c r="B731" s="2">
        <f t="shared" si="44"/>
        <v>0</v>
      </c>
      <c r="C731" s="2">
        <f t="shared" si="46"/>
        <v>0</v>
      </c>
      <c r="D731" s="2">
        <f t="shared" si="47"/>
        <v>67.050000000000011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B6D9B-531C-4AC3-9CDB-6D9BFA5E6796}">
  <dimension ref="A1:F731"/>
  <sheetViews>
    <sheetView zoomScale="150" zoomScaleNormal="150" workbookViewId="0">
      <selection activeCell="D4" sqref="D4"/>
    </sheetView>
  </sheetViews>
  <sheetFormatPr defaultRowHeight="15" x14ac:dyDescent="0.25"/>
  <cols>
    <col min="1" max="1" width="18.28515625" customWidth="1"/>
    <col min="2" max="2" width="9.140625" style="2" customWidth="1"/>
    <col min="3" max="3" width="16.140625" style="2" customWidth="1"/>
    <col min="4" max="4" width="10.7109375" style="2" customWidth="1"/>
    <col min="5" max="5" width="7.140625" style="2" customWidth="1"/>
    <col min="6" max="6" width="6.7109375" style="2" customWidth="1"/>
  </cols>
  <sheetData>
    <row r="1" spans="1:4" x14ac:dyDescent="0.25">
      <c r="A1" t="s">
        <v>6</v>
      </c>
      <c r="B1" s="2">
        <v>0.02</v>
      </c>
      <c r="C1" s="2" t="s">
        <v>7</v>
      </c>
    </row>
    <row r="2" spans="1:4" x14ac:dyDescent="0.25">
      <c r="A2" t="s">
        <v>1</v>
      </c>
      <c r="B2" s="2">
        <v>149</v>
      </c>
      <c r="C2" s="2" t="s">
        <v>10</v>
      </c>
    </row>
    <row r="3" spans="1:4" x14ac:dyDescent="0.25">
      <c r="A3" t="s">
        <v>4</v>
      </c>
      <c r="B3" s="3">
        <v>0.25</v>
      </c>
      <c r="C3" s="2" t="s">
        <v>5</v>
      </c>
      <c r="D3" s="2" t="s">
        <v>22</v>
      </c>
    </row>
    <row r="4" spans="1:4" x14ac:dyDescent="0.25">
      <c r="A4" t="s">
        <v>29</v>
      </c>
      <c r="B4" s="3">
        <v>16.885999999999999</v>
      </c>
    </row>
    <row r="5" spans="1:4" x14ac:dyDescent="0.25">
      <c r="A5" t="s">
        <v>30</v>
      </c>
      <c r="B5" s="4">
        <f>B4+1.65*B3</f>
        <v>17.298500000000001</v>
      </c>
      <c r="C5" s="2" t="s">
        <v>16</v>
      </c>
      <c r="D5" s="2" t="s">
        <v>24</v>
      </c>
    </row>
    <row r="6" spans="1:4" x14ac:dyDescent="0.25">
      <c r="A6" s="5" t="s">
        <v>0</v>
      </c>
      <c r="B6" s="5">
        <f>B5/12</f>
        <v>1.4415416666666667</v>
      </c>
      <c r="C6" s="5" t="s">
        <v>3</v>
      </c>
    </row>
    <row r="7" spans="1:4" x14ac:dyDescent="0.25">
      <c r="A7" t="s">
        <v>14</v>
      </c>
      <c r="B7" s="3">
        <v>300</v>
      </c>
      <c r="C7" s="2" t="s">
        <v>11</v>
      </c>
      <c r="D7" s="2" t="s">
        <v>23</v>
      </c>
    </row>
    <row r="8" spans="1:4" x14ac:dyDescent="0.25">
      <c r="A8" t="s">
        <v>21</v>
      </c>
      <c r="B8" s="4">
        <f>B7*B1/B2</f>
        <v>4.0268456375838924E-2</v>
      </c>
    </row>
    <row r="9" spans="1:4" x14ac:dyDescent="0.25">
      <c r="A9" t="s">
        <v>17</v>
      </c>
      <c r="B9" s="4">
        <f>B3*B2</f>
        <v>37.25</v>
      </c>
      <c r="C9" s="2" t="s">
        <v>9</v>
      </c>
    </row>
    <row r="10" spans="1:4" x14ac:dyDescent="0.25">
      <c r="A10" t="s">
        <v>15</v>
      </c>
      <c r="B10" s="4">
        <f>SQRT(B7*B5)</f>
        <v>72.038531356490054</v>
      </c>
      <c r="C10" s="2" t="s">
        <v>9</v>
      </c>
    </row>
    <row r="11" spans="1:4" x14ac:dyDescent="0.25">
      <c r="A11" s="7" t="s">
        <v>8</v>
      </c>
      <c r="B11" s="4">
        <f>MIN(B9:B10)</f>
        <v>37.25</v>
      </c>
      <c r="C11" s="2" t="s">
        <v>9</v>
      </c>
    </row>
    <row r="12" spans="1:4" x14ac:dyDescent="0.25">
      <c r="A12" t="s">
        <v>27</v>
      </c>
      <c r="B12" s="1">
        <f>B11/B2</f>
        <v>0.25</v>
      </c>
      <c r="C12"/>
    </row>
    <row r="13" spans="1:4" x14ac:dyDescent="0.25">
      <c r="A13" t="s">
        <v>18</v>
      </c>
      <c r="B13">
        <f>B5/B11+B11/B7</f>
        <v>0.58855592841163318</v>
      </c>
      <c r="C13" s="2" t="s">
        <v>7</v>
      </c>
    </row>
    <row r="14" spans="1:4" x14ac:dyDescent="0.25">
      <c r="A14" t="s">
        <v>25</v>
      </c>
      <c r="B14" s="4">
        <f>B11/B7</f>
        <v>0.12416666666666666</v>
      </c>
      <c r="C14" s="2" t="s">
        <v>7</v>
      </c>
    </row>
    <row r="15" spans="1:4" x14ac:dyDescent="0.25">
      <c r="A15" t="s">
        <v>19</v>
      </c>
      <c r="B15" s="4">
        <f>B13-B14</f>
        <v>0.46438926174496653</v>
      </c>
      <c r="C15" s="2" t="s">
        <v>7</v>
      </c>
    </row>
    <row r="16" spans="1:4" x14ac:dyDescent="0.25">
      <c r="A16" t="s">
        <v>26</v>
      </c>
      <c r="B16" s="6">
        <f>D731</f>
        <v>17.134999999999994</v>
      </c>
      <c r="C16" s="2" t="s">
        <v>12</v>
      </c>
    </row>
    <row r="17" spans="1:6" x14ac:dyDescent="0.25">
      <c r="A17" t="s">
        <v>2</v>
      </c>
      <c r="B17" s="6">
        <f>D731-B4</f>
        <v>0.24899999999999523</v>
      </c>
      <c r="C17" s="2" t="s">
        <v>12</v>
      </c>
    </row>
    <row r="19" spans="1:6" x14ac:dyDescent="0.25">
      <c r="A19" t="s">
        <v>13</v>
      </c>
      <c r="B19" s="2" t="s">
        <v>4</v>
      </c>
      <c r="C19" s="2" t="s">
        <v>20</v>
      </c>
      <c r="D19" s="2" t="s">
        <v>0</v>
      </c>
      <c r="F19"/>
    </row>
    <row r="20" spans="1:6" x14ac:dyDescent="0.25">
      <c r="A20">
        <f>B20/12</f>
        <v>0</v>
      </c>
      <c r="B20" s="2">
        <v>0</v>
      </c>
      <c r="C20" s="2">
        <f>B20*B2</f>
        <v>0</v>
      </c>
      <c r="D20" s="2">
        <v>0</v>
      </c>
      <c r="F20"/>
    </row>
    <row r="21" spans="1:6" x14ac:dyDescent="0.25">
      <c r="A21">
        <f>A20+$B$1</f>
        <v>0.02</v>
      </c>
      <c r="B21" s="2">
        <f t="shared" ref="B21:B84" si="0">MAX(0,IF(A21&lt;$B$14,B20+$B$8,IF(AND(A21&gt;=$B$14,A21&lt;=$B$15),$B$11/$B$2,B20-$B$8)))</f>
        <v>4.0268456375838924E-2</v>
      </c>
      <c r="C21" s="2">
        <f>B21*$B$2</f>
        <v>6</v>
      </c>
      <c r="D21" s="2">
        <f>D20+C20*$B$1</f>
        <v>0</v>
      </c>
    </row>
    <row r="22" spans="1:6" x14ac:dyDescent="0.25">
      <c r="A22">
        <f t="shared" ref="A22:A85" si="1">A21+$B$1</f>
        <v>0.04</v>
      </c>
      <c r="B22" s="2">
        <f t="shared" si="0"/>
        <v>8.0536912751677847E-2</v>
      </c>
      <c r="C22" s="2">
        <f t="shared" ref="C22:C85" si="2">B22*$B$2</f>
        <v>12</v>
      </c>
      <c r="D22" s="2">
        <f t="shared" ref="D22:D85" si="3">D21+C21*$B$1</f>
        <v>0.12</v>
      </c>
    </row>
    <row r="23" spans="1:6" x14ac:dyDescent="0.25">
      <c r="A23">
        <f t="shared" si="1"/>
        <v>0.06</v>
      </c>
      <c r="B23" s="2">
        <f t="shared" si="0"/>
        <v>0.12080536912751677</v>
      </c>
      <c r="C23" s="2">
        <f t="shared" si="2"/>
        <v>18</v>
      </c>
      <c r="D23" s="2">
        <f t="shared" si="3"/>
        <v>0.36</v>
      </c>
    </row>
    <row r="24" spans="1:6" x14ac:dyDescent="0.25">
      <c r="A24">
        <f t="shared" si="1"/>
        <v>0.08</v>
      </c>
      <c r="B24" s="2">
        <f t="shared" si="0"/>
        <v>0.16107382550335569</v>
      </c>
      <c r="C24" s="2">
        <f t="shared" si="2"/>
        <v>24</v>
      </c>
      <c r="D24" s="2">
        <f t="shared" si="3"/>
        <v>0.72</v>
      </c>
    </row>
    <row r="25" spans="1:6" x14ac:dyDescent="0.25">
      <c r="A25">
        <f t="shared" si="1"/>
        <v>0.1</v>
      </c>
      <c r="B25" s="2">
        <f t="shared" si="0"/>
        <v>0.20134228187919462</v>
      </c>
      <c r="C25" s="2">
        <f t="shared" si="2"/>
        <v>29.999999999999996</v>
      </c>
      <c r="D25" s="2">
        <f t="shared" si="3"/>
        <v>1.2</v>
      </c>
    </row>
    <row r="26" spans="1:6" x14ac:dyDescent="0.25">
      <c r="A26">
        <f t="shared" si="1"/>
        <v>0.12000000000000001</v>
      </c>
      <c r="B26" s="2">
        <f t="shared" si="0"/>
        <v>0.24161073825503354</v>
      </c>
      <c r="C26" s="2">
        <f t="shared" si="2"/>
        <v>36</v>
      </c>
      <c r="D26" s="2">
        <f t="shared" si="3"/>
        <v>1.7999999999999998</v>
      </c>
    </row>
    <row r="27" spans="1:6" x14ac:dyDescent="0.25">
      <c r="A27">
        <f t="shared" si="1"/>
        <v>0.14000000000000001</v>
      </c>
      <c r="B27" s="2">
        <f t="shared" si="0"/>
        <v>0.25</v>
      </c>
      <c r="C27" s="2">
        <f t="shared" si="2"/>
        <v>37.25</v>
      </c>
      <c r="D27" s="2">
        <f t="shared" si="3"/>
        <v>2.5199999999999996</v>
      </c>
    </row>
    <row r="28" spans="1:6" x14ac:dyDescent="0.25">
      <c r="A28">
        <f t="shared" si="1"/>
        <v>0.16</v>
      </c>
      <c r="B28" s="2">
        <f t="shared" si="0"/>
        <v>0.25</v>
      </c>
      <c r="C28" s="2">
        <f t="shared" si="2"/>
        <v>37.25</v>
      </c>
      <c r="D28" s="2">
        <f t="shared" si="3"/>
        <v>3.2649999999999997</v>
      </c>
    </row>
    <row r="29" spans="1:6" x14ac:dyDescent="0.25">
      <c r="A29">
        <f t="shared" si="1"/>
        <v>0.18</v>
      </c>
      <c r="B29" s="2">
        <f t="shared" si="0"/>
        <v>0.25</v>
      </c>
      <c r="C29" s="2">
        <f t="shared" si="2"/>
        <v>37.25</v>
      </c>
      <c r="D29" s="2">
        <f t="shared" si="3"/>
        <v>4.01</v>
      </c>
    </row>
    <row r="30" spans="1:6" x14ac:dyDescent="0.25">
      <c r="A30">
        <f t="shared" si="1"/>
        <v>0.19999999999999998</v>
      </c>
      <c r="B30" s="2">
        <f t="shared" si="0"/>
        <v>0.25</v>
      </c>
      <c r="C30" s="2">
        <f t="shared" si="2"/>
        <v>37.25</v>
      </c>
      <c r="D30" s="2">
        <f t="shared" si="3"/>
        <v>4.7549999999999999</v>
      </c>
    </row>
    <row r="31" spans="1:6" x14ac:dyDescent="0.25">
      <c r="A31">
        <f t="shared" si="1"/>
        <v>0.21999999999999997</v>
      </c>
      <c r="B31" s="2">
        <f t="shared" si="0"/>
        <v>0.25</v>
      </c>
      <c r="C31" s="2">
        <f t="shared" si="2"/>
        <v>37.25</v>
      </c>
      <c r="D31" s="2">
        <f t="shared" si="3"/>
        <v>5.5</v>
      </c>
    </row>
    <row r="32" spans="1:6" x14ac:dyDescent="0.25">
      <c r="A32">
        <f t="shared" si="1"/>
        <v>0.23999999999999996</v>
      </c>
      <c r="B32" s="2">
        <f t="shared" si="0"/>
        <v>0.25</v>
      </c>
      <c r="C32" s="2">
        <f t="shared" si="2"/>
        <v>37.25</v>
      </c>
      <c r="D32" s="2">
        <f t="shared" si="3"/>
        <v>6.2450000000000001</v>
      </c>
    </row>
    <row r="33" spans="1:4" x14ac:dyDescent="0.25">
      <c r="A33">
        <f t="shared" si="1"/>
        <v>0.25999999999999995</v>
      </c>
      <c r="B33" s="2">
        <f t="shared" si="0"/>
        <v>0.25</v>
      </c>
      <c r="C33" s="2">
        <f t="shared" si="2"/>
        <v>37.25</v>
      </c>
      <c r="D33" s="2">
        <f t="shared" si="3"/>
        <v>6.99</v>
      </c>
    </row>
    <row r="34" spans="1:4" x14ac:dyDescent="0.25">
      <c r="A34">
        <f t="shared" si="1"/>
        <v>0.27999999999999997</v>
      </c>
      <c r="B34" s="2">
        <f t="shared" si="0"/>
        <v>0.25</v>
      </c>
      <c r="C34" s="2">
        <f t="shared" si="2"/>
        <v>37.25</v>
      </c>
      <c r="D34" s="2">
        <f t="shared" si="3"/>
        <v>7.7350000000000003</v>
      </c>
    </row>
    <row r="35" spans="1:4" x14ac:dyDescent="0.25">
      <c r="A35">
        <f t="shared" si="1"/>
        <v>0.3</v>
      </c>
      <c r="B35" s="2">
        <f t="shared" si="0"/>
        <v>0.25</v>
      </c>
      <c r="C35" s="2">
        <f t="shared" si="2"/>
        <v>37.25</v>
      </c>
      <c r="D35" s="2">
        <f t="shared" si="3"/>
        <v>8.48</v>
      </c>
    </row>
    <row r="36" spans="1:4" x14ac:dyDescent="0.25">
      <c r="A36">
        <f t="shared" si="1"/>
        <v>0.32</v>
      </c>
      <c r="B36" s="2">
        <f t="shared" si="0"/>
        <v>0.25</v>
      </c>
      <c r="C36" s="2">
        <f t="shared" si="2"/>
        <v>37.25</v>
      </c>
      <c r="D36" s="2">
        <f t="shared" si="3"/>
        <v>9.2249999999999996</v>
      </c>
    </row>
    <row r="37" spans="1:4" x14ac:dyDescent="0.25">
      <c r="A37">
        <f t="shared" si="1"/>
        <v>0.34</v>
      </c>
      <c r="B37" s="2">
        <f t="shared" si="0"/>
        <v>0.25</v>
      </c>
      <c r="C37" s="2">
        <f t="shared" si="2"/>
        <v>37.25</v>
      </c>
      <c r="D37" s="2">
        <f t="shared" si="3"/>
        <v>9.9699999999999989</v>
      </c>
    </row>
    <row r="38" spans="1:4" x14ac:dyDescent="0.25">
      <c r="A38">
        <f t="shared" si="1"/>
        <v>0.36000000000000004</v>
      </c>
      <c r="B38" s="2">
        <f t="shared" si="0"/>
        <v>0.25</v>
      </c>
      <c r="C38" s="2">
        <f t="shared" si="2"/>
        <v>37.25</v>
      </c>
      <c r="D38" s="2">
        <f t="shared" si="3"/>
        <v>10.714999999999998</v>
      </c>
    </row>
    <row r="39" spans="1:4" x14ac:dyDescent="0.25">
      <c r="A39">
        <f t="shared" si="1"/>
        <v>0.38000000000000006</v>
      </c>
      <c r="B39" s="2">
        <f t="shared" si="0"/>
        <v>0.25</v>
      </c>
      <c r="C39" s="2">
        <f t="shared" si="2"/>
        <v>37.25</v>
      </c>
      <c r="D39" s="2">
        <f t="shared" si="3"/>
        <v>11.459999999999997</v>
      </c>
    </row>
    <row r="40" spans="1:4" x14ac:dyDescent="0.25">
      <c r="A40">
        <f t="shared" si="1"/>
        <v>0.40000000000000008</v>
      </c>
      <c r="B40" s="2">
        <f t="shared" si="0"/>
        <v>0.25</v>
      </c>
      <c r="C40" s="2">
        <f t="shared" si="2"/>
        <v>37.25</v>
      </c>
      <c r="D40" s="2">
        <f t="shared" si="3"/>
        <v>12.204999999999997</v>
      </c>
    </row>
    <row r="41" spans="1:4" x14ac:dyDescent="0.25">
      <c r="A41">
        <f t="shared" si="1"/>
        <v>0.4200000000000001</v>
      </c>
      <c r="B41" s="2">
        <f t="shared" si="0"/>
        <v>0.25</v>
      </c>
      <c r="C41" s="2">
        <f t="shared" si="2"/>
        <v>37.25</v>
      </c>
      <c r="D41" s="2">
        <f t="shared" si="3"/>
        <v>12.949999999999996</v>
      </c>
    </row>
    <row r="42" spans="1:4" x14ac:dyDescent="0.25">
      <c r="A42">
        <f t="shared" si="1"/>
        <v>0.44000000000000011</v>
      </c>
      <c r="B42" s="2">
        <f t="shared" si="0"/>
        <v>0.25</v>
      </c>
      <c r="C42" s="2">
        <f t="shared" si="2"/>
        <v>37.25</v>
      </c>
      <c r="D42" s="2">
        <f t="shared" si="3"/>
        <v>13.694999999999995</v>
      </c>
    </row>
    <row r="43" spans="1:4" x14ac:dyDescent="0.25">
      <c r="A43">
        <f t="shared" si="1"/>
        <v>0.46000000000000013</v>
      </c>
      <c r="B43" s="2">
        <f t="shared" si="0"/>
        <v>0.25</v>
      </c>
      <c r="C43" s="2">
        <f t="shared" si="2"/>
        <v>37.25</v>
      </c>
      <c r="D43" s="2">
        <f t="shared" si="3"/>
        <v>14.439999999999994</v>
      </c>
    </row>
    <row r="44" spans="1:4" x14ac:dyDescent="0.25">
      <c r="A44">
        <f t="shared" si="1"/>
        <v>0.48000000000000015</v>
      </c>
      <c r="B44" s="2">
        <f t="shared" si="0"/>
        <v>0.20973154362416108</v>
      </c>
      <c r="C44" s="2">
        <f t="shared" si="2"/>
        <v>31.25</v>
      </c>
      <c r="D44" s="2">
        <f t="shared" si="3"/>
        <v>15.184999999999993</v>
      </c>
    </row>
    <row r="45" spans="1:4" x14ac:dyDescent="0.25">
      <c r="A45">
        <f t="shared" si="1"/>
        <v>0.50000000000000011</v>
      </c>
      <c r="B45" s="2">
        <f t="shared" si="0"/>
        <v>0.16946308724832215</v>
      </c>
      <c r="C45" s="2">
        <f t="shared" si="2"/>
        <v>25.25</v>
      </c>
      <c r="D45" s="2">
        <f t="shared" si="3"/>
        <v>15.809999999999993</v>
      </c>
    </row>
    <row r="46" spans="1:4" x14ac:dyDescent="0.25">
      <c r="A46">
        <f t="shared" si="1"/>
        <v>0.52000000000000013</v>
      </c>
      <c r="B46" s="2">
        <f t="shared" si="0"/>
        <v>0.12919463087248323</v>
      </c>
      <c r="C46" s="2">
        <f t="shared" si="2"/>
        <v>19.25</v>
      </c>
      <c r="D46" s="2">
        <f t="shared" si="3"/>
        <v>16.314999999999994</v>
      </c>
    </row>
    <row r="47" spans="1:4" x14ac:dyDescent="0.25">
      <c r="A47">
        <f t="shared" si="1"/>
        <v>0.54000000000000015</v>
      </c>
      <c r="B47" s="2">
        <f t="shared" si="0"/>
        <v>8.8926174496644306E-2</v>
      </c>
      <c r="C47" s="2">
        <f t="shared" si="2"/>
        <v>13.250000000000002</v>
      </c>
      <c r="D47" s="2">
        <f t="shared" si="3"/>
        <v>16.699999999999996</v>
      </c>
    </row>
    <row r="48" spans="1:4" x14ac:dyDescent="0.25">
      <c r="A48">
        <f t="shared" si="1"/>
        <v>0.56000000000000016</v>
      </c>
      <c r="B48" s="2">
        <f t="shared" si="0"/>
        <v>4.8657718120805382E-2</v>
      </c>
      <c r="C48" s="2">
        <f t="shared" si="2"/>
        <v>7.2500000000000018</v>
      </c>
      <c r="D48" s="2">
        <f t="shared" si="3"/>
        <v>16.964999999999996</v>
      </c>
    </row>
    <row r="49" spans="1:4" x14ac:dyDescent="0.25">
      <c r="A49">
        <f t="shared" si="1"/>
        <v>0.58000000000000018</v>
      </c>
      <c r="B49" s="2">
        <f t="shared" si="0"/>
        <v>8.3892617449664586E-3</v>
      </c>
      <c r="C49" s="2">
        <f t="shared" si="2"/>
        <v>1.2500000000000022</v>
      </c>
      <c r="D49" s="2">
        <f t="shared" si="3"/>
        <v>17.109999999999996</v>
      </c>
    </row>
    <row r="50" spans="1:4" x14ac:dyDescent="0.25">
      <c r="A50">
        <f t="shared" si="1"/>
        <v>0.6000000000000002</v>
      </c>
      <c r="B50" s="2">
        <f t="shared" si="0"/>
        <v>0</v>
      </c>
      <c r="C50" s="2">
        <f t="shared" si="2"/>
        <v>0</v>
      </c>
      <c r="D50" s="2">
        <f t="shared" si="3"/>
        <v>17.134999999999994</v>
      </c>
    </row>
    <row r="51" spans="1:4" x14ac:dyDescent="0.25">
      <c r="A51">
        <f t="shared" si="1"/>
        <v>0.62000000000000022</v>
      </c>
      <c r="B51" s="2">
        <f t="shared" si="0"/>
        <v>0</v>
      </c>
      <c r="C51" s="2">
        <f t="shared" si="2"/>
        <v>0</v>
      </c>
      <c r="D51" s="2">
        <f t="shared" si="3"/>
        <v>17.134999999999994</v>
      </c>
    </row>
    <row r="52" spans="1:4" x14ac:dyDescent="0.25">
      <c r="A52">
        <f t="shared" si="1"/>
        <v>0.64000000000000024</v>
      </c>
      <c r="B52" s="2">
        <f t="shared" si="0"/>
        <v>0</v>
      </c>
      <c r="C52" s="2">
        <f t="shared" si="2"/>
        <v>0</v>
      </c>
      <c r="D52" s="2">
        <f t="shared" si="3"/>
        <v>17.134999999999994</v>
      </c>
    </row>
    <row r="53" spans="1:4" x14ac:dyDescent="0.25">
      <c r="A53">
        <f t="shared" si="1"/>
        <v>0.66000000000000025</v>
      </c>
      <c r="B53" s="2">
        <f t="shared" si="0"/>
        <v>0</v>
      </c>
      <c r="C53" s="2">
        <f t="shared" si="2"/>
        <v>0</v>
      </c>
      <c r="D53" s="2">
        <f t="shared" si="3"/>
        <v>17.134999999999994</v>
      </c>
    </row>
    <row r="54" spans="1:4" x14ac:dyDescent="0.25">
      <c r="A54">
        <f t="shared" si="1"/>
        <v>0.68000000000000027</v>
      </c>
      <c r="B54" s="2">
        <f t="shared" si="0"/>
        <v>0</v>
      </c>
      <c r="C54" s="2">
        <f t="shared" si="2"/>
        <v>0</v>
      </c>
      <c r="D54" s="2">
        <f t="shared" si="3"/>
        <v>17.134999999999994</v>
      </c>
    </row>
    <row r="55" spans="1:4" x14ac:dyDescent="0.25">
      <c r="A55">
        <f t="shared" si="1"/>
        <v>0.70000000000000029</v>
      </c>
      <c r="B55" s="2">
        <f t="shared" si="0"/>
        <v>0</v>
      </c>
      <c r="C55" s="2">
        <f t="shared" si="2"/>
        <v>0</v>
      </c>
      <c r="D55" s="2">
        <f t="shared" si="3"/>
        <v>17.134999999999994</v>
      </c>
    </row>
    <row r="56" spans="1:4" x14ac:dyDescent="0.25">
      <c r="A56">
        <f t="shared" si="1"/>
        <v>0.72000000000000031</v>
      </c>
      <c r="B56" s="2">
        <f t="shared" si="0"/>
        <v>0</v>
      </c>
      <c r="C56" s="2">
        <f t="shared" si="2"/>
        <v>0</v>
      </c>
      <c r="D56" s="2">
        <f t="shared" si="3"/>
        <v>17.134999999999994</v>
      </c>
    </row>
    <row r="57" spans="1:4" x14ac:dyDescent="0.25">
      <c r="A57">
        <f t="shared" si="1"/>
        <v>0.74000000000000032</v>
      </c>
      <c r="B57" s="2">
        <f t="shared" si="0"/>
        <v>0</v>
      </c>
      <c r="C57" s="2">
        <f t="shared" si="2"/>
        <v>0</v>
      </c>
      <c r="D57" s="2">
        <f t="shared" si="3"/>
        <v>17.134999999999994</v>
      </c>
    </row>
    <row r="58" spans="1:4" x14ac:dyDescent="0.25">
      <c r="A58">
        <f t="shared" si="1"/>
        <v>0.76000000000000034</v>
      </c>
      <c r="B58" s="2">
        <f t="shared" si="0"/>
        <v>0</v>
      </c>
      <c r="C58" s="2">
        <f t="shared" si="2"/>
        <v>0</v>
      </c>
      <c r="D58" s="2">
        <f t="shared" si="3"/>
        <v>17.134999999999994</v>
      </c>
    </row>
    <row r="59" spans="1:4" x14ac:dyDescent="0.25">
      <c r="A59">
        <f t="shared" si="1"/>
        <v>0.78000000000000036</v>
      </c>
      <c r="B59" s="2">
        <f t="shared" si="0"/>
        <v>0</v>
      </c>
      <c r="C59" s="2">
        <f t="shared" si="2"/>
        <v>0</v>
      </c>
      <c r="D59" s="2">
        <f t="shared" si="3"/>
        <v>17.134999999999994</v>
      </c>
    </row>
    <row r="60" spans="1:4" x14ac:dyDescent="0.25">
      <c r="A60">
        <f t="shared" si="1"/>
        <v>0.80000000000000038</v>
      </c>
      <c r="B60" s="2">
        <f t="shared" si="0"/>
        <v>0</v>
      </c>
      <c r="C60" s="2">
        <f t="shared" si="2"/>
        <v>0</v>
      </c>
      <c r="D60" s="2">
        <f t="shared" si="3"/>
        <v>17.134999999999994</v>
      </c>
    </row>
    <row r="61" spans="1:4" x14ac:dyDescent="0.25">
      <c r="A61">
        <f t="shared" si="1"/>
        <v>0.8200000000000004</v>
      </c>
      <c r="B61" s="2">
        <f t="shared" si="0"/>
        <v>0</v>
      </c>
      <c r="C61" s="2">
        <f t="shared" si="2"/>
        <v>0</v>
      </c>
      <c r="D61" s="2">
        <f t="shared" si="3"/>
        <v>17.134999999999994</v>
      </c>
    </row>
    <row r="62" spans="1:4" x14ac:dyDescent="0.25">
      <c r="A62">
        <f t="shared" si="1"/>
        <v>0.84000000000000041</v>
      </c>
      <c r="B62" s="2">
        <f t="shared" si="0"/>
        <v>0</v>
      </c>
      <c r="C62" s="2">
        <f t="shared" si="2"/>
        <v>0</v>
      </c>
      <c r="D62" s="2">
        <f t="shared" si="3"/>
        <v>17.134999999999994</v>
      </c>
    </row>
    <row r="63" spans="1:4" x14ac:dyDescent="0.25">
      <c r="A63">
        <f t="shared" si="1"/>
        <v>0.86000000000000043</v>
      </c>
      <c r="B63" s="2">
        <f t="shared" si="0"/>
        <v>0</v>
      </c>
      <c r="C63" s="2">
        <f t="shared" si="2"/>
        <v>0</v>
      </c>
      <c r="D63" s="2">
        <f t="shared" si="3"/>
        <v>17.134999999999994</v>
      </c>
    </row>
    <row r="64" spans="1:4" x14ac:dyDescent="0.25">
      <c r="A64">
        <f t="shared" si="1"/>
        <v>0.88000000000000045</v>
      </c>
      <c r="B64" s="2">
        <f t="shared" si="0"/>
        <v>0</v>
      </c>
      <c r="C64" s="2">
        <f t="shared" si="2"/>
        <v>0</v>
      </c>
      <c r="D64" s="2">
        <f t="shared" si="3"/>
        <v>17.134999999999994</v>
      </c>
    </row>
    <row r="65" spans="1:4" x14ac:dyDescent="0.25">
      <c r="A65">
        <f t="shared" si="1"/>
        <v>0.90000000000000047</v>
      </c>
      <c r="B65" s="2">
        <f t="shared" si="0"/>
        <v>0</v>
      </c>
      <c r="C65" s="2">
        <f t="shared" si="2"/>
        <v>0</v>
      </c>
      <c r="D65" s="2">
        <f t="shared" si="3"/>
        <v>17.134999999999994</v>
      </c>
    </row>
    <row r="66" spans="1:4" x14ac:dyDescent="0.25">
      <c r="A66">
        <f t="shared" si="1"/>
        <v>0.92000000000000048</v>
      </c>
      <c r="B66" s="2">
        <f t="shared" si="0"/>
        <v>0</v>
      </c>
      <c r="C66" s="2">
        <f t="shared" si="2"/>
        <v>0</v>
      </c>
      <c r="D66" s="2">
        <f t="shared" si="3"/>
        <v>17.134999999999994</v>
      </c>
    </row>
    <row r="67" spans="1:4" x14ac:dyDescent="0.25">
      <c r="A67">
        <f t="shared" si="1"/>
        <v>0.9400000000000005</v>
      </c>
      <c r="B67" s="2">
        <f t="shared" si="0"/>
        <v>0</v>
      </c>
      <c r="C67" s="2">
        <f t="shared" si="2"/>
        <v>0</v>
      </c>
      <c r="D67" s="2">
        <f t="shared" si="3"/>
        <v>17.134999999999994</v>
      </c>
    </row>
    <row r="68" spans="1:4" x14ac:dyDescent="0.25">
      <c r="A68">
        <f t="shared" si="1"/>
        <v>0.96000000000000052</v>
      </c>
      <c r="B68" s="2">
        <f t="shared" si="0"/>
        <v>0</v>
      </c>
      <c r="C68" s="2">
        <f t="shared" si="2"/>
        <v>0</v>
      </c>
      <c r="D68" s="2">
        <f t="shared" si="3"/>
        <v>17.134999999999994</v>
      </c>
    </row>
    <row r="69" spans="1:4" x14ac:dyDescent="0.25">
      <c r="A69">
        <f t="shared" si="1"/>
        <v>0.98000000000000054</v>
      </c>
      <c r="B69" s="2">
        <f t="shared" si="0"/>
        <v>0</v>
      </c>
      <c r="C69" s="2">
        <f t="shared" si="2"/>
        <v>0</v>
      </c>
      <c r="D69" s="2">
        <f t="shared" si="3"/>
        <v>17.134999999999994</v>
      </c>
    </row>
    <row r="70" spans="1:4" x14ac:dyDescent="0.25">
      <c r="A70">
        <f t="shared" si="1"/>
        <v>1.0000000000000004</v>
      </c>
      <c r="B70" s="2">
        <f t="shared" si="0"/>
        <v>0</v>
      </c>
      <c r="C70" s="2">
        <f t="shared" si="2"/>
        <v>0</v>
      </c>
      <c r="D70" s="2">
        <f t="shared" si="3"/>
        <v>17.134999999999994</v>
      </c>
    </row>
    <row r="71" spans="1:4" x14ac:dyDescent="0.25">
      <c r="A71">
        <f t="shared" si="1"/>
        <v>1.0200000000000005</v>
      </c>
      <c r="B71" s="2">
        <f t="shared" si="0"/>
        <v>0</v>
      </c>
      <c r="C71" s="2">
        <f t="shared" si="2"/>
        <v>0</v>
      </c>
      <c r="D71" s="2">
        <f t="shared" si="3"/>
        <v>17.134999999999994</v>
      </c>
    </row>
    <row r="72" spans="1:4" x14ac:dyDescent="0.25">
      <c r="A72">
        <f t="shared" si="1"/>
        <v>1.0400000000000005</v>
      </c>
      <c r="B72" s="2">
        <f t="shared" si="0"/>
        <v>0</v>
      </c>
      <c r="C72" s="2">
        <f t="shared" si="2"/>
        <v>0</v>
      </c>
      <c r="D72" s="2">
        <f t="shared" si="3"/>
        <v>17.134999999999994</v>
      </c>
    </row>
    <row r="73" spans="1:4" x14ac:dyDescent="0.25">
      <c r="A73">
        <f t="shared" si="1"/>
        <v>1.0600000000000005</v>
      </c>
      <c r="B73" s="2">
        <f t="shared" si="0"/>
        <v>0</v>
      </c>
      <c r="C73" s="2">
        <f t="shared" si="2"/>
        <v>0</v>
      </c>
      <c r="D73" s="2">
        <f t="shared" si="3"/>
        <v>17.134999999999994</v>
      </c>
    </row>
    <row r="74" spans="1:4" x14ac:dyDescent="0.25">
      <c r="A74">
        <f t="shared" si="1"/>
        <v>1.0800000000000005</v>
      </c>
      <c r="B74" s="2">
        <f t="shared" si="0"/>
        <v>0</v>
      </c>
      <c r="C74" s="2">
        <f t="shared" si="2"/>
        <v>0</v>
      </c>
      <c r="D74" s="2">
        <f t="shared" si="3"/>
        <v>17.134999999999994</v>
      </c>
    </row>
    <row r="75" spans="1:4" x14ac:dyDescent="0.25">
      <c r="A75">
        <f t="shared" si="1"/>
        <v>1.1000000000000005</v>
      </c>
      <c r="B75" s="2">
        <f t="shared" si="0"/>
        <v>0</v>
      </c>
      <c r="C75" s="2">
        <f t="shared" si="2"/>
        <v>0</v>
      </c>
      <c r="D75" s="2">
        <f t="shared" si="3"/>
        <v>17.134999999999994</v>
      </c>
    </row>
    <row r="76" spans="1:4" x14ac:dyDescent="0.25">
      <c r="A76">
        <f t="shared" si="1"/>
        <v>1.1200000000000006</v>
      </c>
      <c r="B76" s="2">
        <f t="shared" si="0"/>
        <v>0</v>
      </c>
      <c r="C76" s="2">
        <f t="shared" si="2"/>
        <v>0</v>
      </c>
      <c r="D76" s="2">
        <f t="shared" si="3"/>
        <v>17.134999999999994</v>
      </c>
    </row>
    <row r="77" spans="1:4" x14ac:dyDescent="0.25">
      <c r="A77">
        <f t="shared" si="1"/>
        <v>1.1400000000000006</v>
      </c>
      <c r="B77" s="2">
        <f t="shared" si="0"/>
        <v>0</v>
      </c>
      <c r="C77" s="2">
        <f t="shared" si="2"/>
        <v>0</v>
      </c>
      <c r="D77" s="2">
        <f t="shared" si="3"/>
        <v>17.134999999999994</v>
      </c>
    </row>
    <row r="78" spans="1:4" x14ac:dyDescent="0.25">
      <c r="A78">
        <f t="shared" si="1"/>
        <v>1.1600000000000006</v>
      </c>
      <c r="B78" s="2">
        <f t="shared" si="0"/>
        <v>0</v>
      </c>
      <c r="C78" s="2">
        <f t="shared" si="2"/>
        <v>0</v>
      </c>
      <c r="D78" s="2">
        <f t="shared" si="3"/>
        <v>17.134999999999994</v>
      </c>
    </row>
    <row r="79" spans="1:4" x14ac:dyDescent="0.25">
      <c r="A79">
        <f t="shared" si="1"/>
        <v>1.1800000000000006</v>
      </c>
      <c r="B79" s="2">
        <f t="shared" si="0"/>
        <v>0</v>
      </c>
      <c r="C79" s="2">
        <f t="shared" si="2"/>
        <v>0</v>
      </c>
      <c r="D79" s="2">
        <f t="shared" si="3"/>
        <v>17.134999999999994</v>
      </c>
    </row>
    <row r="80" spans="1:4" x14ac:dyDescent="0.25">
      <c r="A80">
        <f t="shared" si="1"/>
        <v>1.2000000000000006</v>
      </c>
      <c r="B80" s="2">
        <f t="shared" si="0"/>
        <v>0</v>
      </c>
      <c r="C80" s="2">
        <f t="shared" si="2"/>
        <v>0</v>
      </c>
      <c r="D80" s="2">
        <f t="shared" si="3"/>
        <v>17.134999999999994</v>
      </c>
    </row>
    <row r="81" spans="1:4" x14ac:dyDescent="0.25">
      <c r="A81">
        <f t="shared" si="1"/>
        <v>1.2200000000000006</v>
      </c>
      <c r="B81" s="2">
        <f t="shared" si="0"/>
        <v>0</v>
      </c>
      <c r="C81" s="2">
        <f t="shared" si="2"/>
        <v>0</v>
      </c>
      <c r="D81" s="2">
        <f t="shared" si="3"/>
        <v>17.134999999999994</v>
      </c>
    </row>
    <row r="82" spans="1:4" x14ac:dyDescent="0.25">
      <c r="A82">
        <f t="shared" si="1"/>
        <v>1.2400000000000007</v>
      </c>
      <c r="B82" s="2">
        <f t="shared" si="0"/>
        <v>0</v>
      </c>
      <c r="C82" s="2">
        <f t="shared" si="2"/>
        <v>0</v>
      </c>
      <c r="D82" s="2">
        <f t="shared" si="3"/>
        <v>17.134999999999994</v>
      </c>
    </row>
    <row r="83" spans="1:4" x14ac:dyDescent="0.25">
      <c r="A83">
        <f t="shared" si="1"/>
        <v>1.2600000000000007</v>
      </c>
      <c r="B83" s="2">
        <f t="shared" si="0"/>
        <v>0</v>
      </c>
      <c r="C83" s="2">
        <f t="shared" si="2"/>
        <v>0</v>
      </c>
      <c r="D83" s="2">
        <f t="shared" si="3"/>
        <v>17.134999999999994</v>
      </c>
    </row>
    <row r="84" spans="1:4" x14ac:dyDescent="0.25">
      <c r="A84">
        <f t="shared" si="1"/>
        <v>1.2800000000000007</v>
      </c>
      <c r="B84" s="2">
        <f t="shared" si="0"/>
        <v>0</v>
      </c>
      <c r="C84" s="2">
        <f t="shared" si="2"/>
        <v>0</v>
      </c>
      <c r="D84" s="2">
        <f t="shared" si="3"/>
        <v>17.134999999999994</v>
      </c>
    </row>
    <row r="85" spans="1:4" x14ac:dyDescent="0.25">
      <c r="A85">
        <f t="shared" si="1"/>
        <v>1.3000000000000007</v>
      </c>
      <c r="B85" s="2">
        <f t="shared" ref="B85:B148" si="4">MAX(0,IF(A85&lt;$B$14,B84+$B$8,IF(AND(A85&gt;=$B$14,A85&lt;=$B$15),$B$11/$B$2,B84-$B$8)))</f>
        <v>0</v>
      </c>
      <c r="C85" s="2">
        <f t="shared" si="2"/>
        <v>0</v>
      </c>
      <c r="D85" s="2">
        <f t="shared" si="3"/>
        <v>17.134999999999994</v>
      </c>
    </row>
    <row r="86" spans="1:4" x14ac:dyDescent="0.25">
      <c r="A86">
        <f t="shared" ref="A86:A149" si="5">A85+$B$1</f>
        <v>1.3200000000000007</v>
      </c>
      <c r="B86" s="2">
        <f t="shared" si="4"/>
        <v>0</v>
      </c>
      <c r="C86" s="2">
        <f t="shared" ref="C86:C149" si="6">B86*$B$2</f>
        <v>0</v>
      </c>
      <c r="D86" s="2">
        <f t="shared" ref="D86:D149" si="7">D85+C85*$B$1</f>
        <v>17.134999999999994</v>
      </c>
    </row>
    <row r="87" spans="1:4" x14ac:dyDescent="0.25">
      <c r="A87">
        <f t="shared" si="5"/>
        <v>1.3400000000000007</v>
      </c>
      <c r="B87" s="2">
        <f t="shared" si="4"/>
        <v>0</v>
      </c>
      <c r="C87" s="2">
        <f t="shared" si="6"/>
        <v>0</v>
      </c>
      <c r="D87" s="2">
        <f t="shared" si="7"/>
        <v>17.134999999999994</v>
      </c>
    </row>
    <row r="88" spans="1:4" x14ac:dyDescent="0.25">
      <c r="A88">
        <f t="shared" si="5"/>
        <v>1.3600000000000008</v>
      </c>
      <c r="B88" s="2">
        <f t="shared" si="4"/>
        <v>0</v>
      </c>
      <c r="C88" s="2">
        <f t="shared" si="6"/>
        <v>0</v>
      </c>
      <c r="D88" s="2">
        <f t="shared" si="7"/>
        <v>17.134999999999994</v>
      </c>
    </row>
    <row r="89" spans="1:4" x14ac:dyDescent="0.25">
      <c r="A89">
        <f t="shared" si="5"/>
        <v>1.3800000000000008</v>
      </c>
      <c r="B89" s="2">
        <f t="shared" si="4"/>
        <v>0</v>
      </c>
      <c r="C89" s="2">
        <f t="shared" si="6"/>
        <v>0</v>
      </c>
      <c r="D89" s="2">
        <f t="shared" si="7"/>
        <v>17.134999999999994</v>
      </c>
    </row>
    <row r="90" spans="1:4" x14ac:dyDescent="0.25">
      <c r="A90">
        <f t="shared" si="5"/>
        <v>1.4000000000000008</v>
      </c>
      <c r="B90" s="2">
        <f t="shared" si="4"/>
        <v>0</v>
      </c>
      <c r="C90" s="2">
        <f t="shared" si="6"/>
        <v>0</v>
      </c>
      <c r="D90" s="2">
        <f t="shared" si="7"/>
        <v>17.134999999999994</v>
      </c>
    </row>
    <row r="91" spans="1:4" x14ac:dyDescent="0.25">
      <c r="A91">
        <f t="shared" si="5"/>
        <v>1.4200000000000008</v>
      </c>
      <c r="B91" s="2">
        <f t="shared" si="4"/>
        <v>0</v>
      </c>
      <c r="C91" s="2">
        <f t="shared" si="6"/>
        <v>0</v>
      </c>
      <c r="D91" s="2">
        <f t="shared" si="7"/>
        <v>17.134999999999994</v>
      </c>
    </row>
    <row r="92" spans="1:4" x14ac:dyDescent="0.25">
      <c r="A92">
        <f t="shared" si="5"/>
        <v>1.4400000000000008</v>
      </c>
      <c r="B92" s="2">
        <f t="shared" si="4"/>
        <v>0</v>
      </c>
      <c r="C92" s="2">
        <f t="shared" si="6"/>
        <v>0</v>
      </c>
      <c r="D92" s="2">
        <f t="shared" si="7"/>
        <v>17.134999999999994</v>
      </c>
    </row>
    <row r="93" spans="1:4" x14ac:dyDescent="0.25">
      <c r="A93">
        <f t="shared" si="5"/>
        <v>1.4600000000000009</v>
      </c>
      <c r="B93" s="2">
        <f t="shared" si="4"/>
        <v>0</v>
      </c>
      <c r="C93" s="2">
        <f t="shared" si="6"/>
        <v>0</v>
      </c>
      <c r="D93" s="2">
        <f t="shared" si="7"/>
        <v>17.134999999999994</v>
      </c>
    </row>
    <row r="94" spans="1:4" x14ac:dyDescent="0.25">
      <c r="A94">
        <f t="shared" si="5"/>
        <v>1.4800000000000009</v>
      </c>
      <c r="B94" s="2">
        <f t="shared" si="4"/>
        <v>0</v>
      </c>
      <c r="C94" s="2">
        <f t="shared" si="6"/>
        <v>0</v>
      </c>
      <c r="D94" s="2">
        <f t="shared" si="7"/>
        <v>17.134999999999994</v>
      </c>
    </row>
    <row r="95" spans="1:4" x14ac:dyDescent="0.25">
      <c r="A95">
        <f t="shared" si="5"/>
        <v>1.5000000000000009</v>
      </c>
      <c r="B95" s="2">
        <f t="shared" si="4"/>
        <v>0</v>
      </c>
      <c r="C95" s="2">
        <f t="shared" si="6"/>
        <v>0</v>
      </c>
      <c r="D95" s="2">
        <f t="shared" si="7"/>
        <v>17.134999999999994</v>
      </c>
    </row>
    <row r="96" spans="1:4" x14ac:dyDescent="0.25">
      <c r="A96">
        <f t="shared" si="5"/>
        <v>1.5200000000000009</v>
      </c>
      <c r="B96" s="2">
        <f t="shared" si="4"/>
        <v>0</v>
      </c>
      <c r="C96" s="2">
        <f t="shared" si="6"/>
        <v>0</v>
      </c>
      <c r="D96" s="2">
        <f t="shared" si="7"/>
        <v>17.134999999999994</v>
      </c>
    </row>
    <row r="97" spans="1:4" x14ac:dyDescent="0.25">
      <c r="A97">
        <f t="shared" si="5"/>
        <v>1.5400000000000009</v>
      </c>
      <c r="B97" s="2">
        <f t="shared" si="4"/>
        <v>0</v>
      </c>
      <c r="C97" s="2">
        <f t="shared" si="6"/>
        <v>0</v>
      </c>
      <c r="D97" s="2">
        <f t="shared" si="7"/>
        <v>17.134999999999994</v>
      </c>
    </row>
    <row r="98" spans="1:4" x14ac:dyDescent="0.25">
      <c r="A98">
        <f t="shared" si="5"/>
        <v>1.5600000000000009</v>
      </c>
      <c r="B98" s="2">
        <f t="shared" si="4"/>
        <v>0</v>
      </c>
      <c r="C98" s="2">
        <f t="shared" si="6"/>
        <v>0</v>
      </c>
      <c r="D98" s="2">
        <f t="shared" si="7"/>
        <v>17.134999999999994</v>
      </c>
    </row>
    <row r="99" spans="1:4" x14ac:dyDescent="0.25">
      <c r="A99">
        <f t="shared" si="5"/>
        <v>1.580000000000001</v>
      </c>
      <c r="B99" s="2">
        <f t="shared" si="4"/>
        <v>0</v>
      </c>
      <c r="C99" s="2">
        <f t="shared" si="6"/>
        <v>0</v>
      </c>
      <c r="D99" s="2">
        <f t="shared" si="7"/>
        <v>17.134999999999994</v>
      </c>
    </row>
    <row r="100" spans="1:4" x14ac:dyDescent="0.25">
      <c r="A100">
        <f t="shared" si="5"/>
        <v>1.600000000000001</v>
      </c>
      <c r="B100" s="2">
        <f t="shared" si="4"/>
        <v>0</v>
      </c>
      <c r="C100" s="2">
        <f t="shared" si="6"/>
        <v>0</v>
      </c>
      <c r="D100" s="2">
        <f t="shared" si="7"/>
        <v>17.134999999999994</v>
      </c>
    </row>
    <row r="101" spans="1:4" x14ac:dyDescent="0.25">
      <c r="A101">
        <f t="shared" si="5"/>
        <v>1.620000000000001</v>
      </c>
      <c r="B101" s="2">
        <f t="shared" si="4"/>
        <v>0</v>
      </c>
      <c r="C101" s="2">
        <f t="shared" si="6"/>
        <v>0</v>
      </c>
      <c r="D101" s="2">
        <f t="shared" si="7"/>
        <v>17.134999999999994</v>
      </c>
    </row>
    <row r="102" spans="1:4" x14ac:dyDescent="0.25">
      <c r="A102">
        <f t="shared" si="5"/>
        <v>1.640000000000001</v>
      </c>
      <c r="B102" s="2">
        <f t="shared" si="4"/>
        <v>0</v>
      </c>
      <c r="C102" s="2">
        <f t="shared" si="6"/>
        <v>0</v>
      </c>
      <c r="D102" s="2">
        <f t="shared" si="7"/>
        <v>17.134999999999994</v>
      </c>
    </row>
    <row r="103" spans="1:4" x14ac:dyDescent="0.25">
      <c r="A103">
        <f t="shared" si="5"/>
        <v>1.660000000000001</v>
      </c>
      <c r="B103" s="2">
        <f t="shared" si="4"/>
        <v>0</v>
      </c>
      <c r="C103" s="2">
        <f t="shared" si="6"/>
        <v>0</v>
      </c>
      <c r="D103" s="2">
        <f t="shared" si="7"/>
        <v>17.134999999999994</v>
      </c>
    </row>
    <row r="104" spans="1:4" x14ac:dyDescent="0.25">
      <c r="A104">
        <f t="shared" si="5"/>
        <v>1.680000000000001</v>
      </c>
      <c r="B104" s="2">
        <f t="shared" si="4"/>
        <v>0</v>
      </c>
      <c r="C104" s="2">
        <f t="shared" si="6"/>
        <v>0</v>
      </c>
      <c r="D104" s="2">
        <f t="shared" si="7"/>
        <v>17.134999999999994</v>
      </c>
    </row>
    <row r="105" spans="1:4" x14ac:dyDescent="0.25">
      <c r="A105">
        <f t="shared" si="5"/>
        <v>1.7000000000000011</v>
      </c>
      <c r="B105" s="2">
        <f t="shared" si="4"/>
        <v>0</v>
      </c>
      <c r="C105" s="2">
        <f t="shared" si="6"/>
        <v>0</v>
      </c>
      <c r="D105" s="2">
        <f t="shared" si="7"/>
        <v>17.134999999999994</v>
      </c>
    </row>
    <row r="106" spans="1:4" x14ac:dyDescent="0.25">
      <c r="A106">
        <f t="shared" si="5"/>
        <v>1.7200000000000011</v>
      </c>
      <c r="B106" s="2">
        <f t="shared" si="4"/>
        <v>0</v>
      </c>
      <c r="C106" s="2">
        <f t="shared" si="6"/>
        <v>0</v>
      </c>
      <c r="D106" s="2">
        <f t="shared" si="7"/>
        <v>17.134999999999994</v>
      </c>
    </row>
    <row r="107" spans="1:4" x14ac:dyDescent="0.25">
      <c r="A107">
        <f t="shared" si="5"/>
        <v>1.7400000000000011</v>
      </c>
      <c r="B107" s="2">
        <f t="shared" si="4"/>
        <v>0</v>
      </c>
      <c r="C107" s="2">
        <f t="shared" si="6"/>
        <v>0</v>
      </c>
      <c r="D107" s="2">
        <f t="shared" si="7"/>
        <v>17.134999999999994</v>
      </c>
    </row>
    <row r="108" spans="1:4" x14ac:dyDescent="0.25">
      <c r="A108">
        <f t="shared" si="5"/>
        <v>1.7600000000000011</v>
      </c>
      <c r="B108" s="2">
        <f t="shared" si="4"/>
        <v>0</v>
      </c>
      <c r="C108" s="2">
        <f t="shared" si="6"/>
        <v>0</v>
      </c>
      <c r="D108" s="2">
        <f t="shared" si="7"/>
        <v>17.134999999999994</v>
      </c>
    </row>
    <row r="109" spans="1:4" x14ac:dyDescent="0.25">
      <c r="A109">
        <f t="shared" si="5"/>
        <v>1.7800000000000011</v>
      </c>
      <c r="B109" s="2">
        <f t="shared" si="4"/>
        <v>0</v>
      </c>
      <c r="C109" s="2">
        <f t="shared" si="6"/>
        <v>0</v>
      </c>
      <c r="D109" s="2">
        <f t="shared" si="7"/>
        <v>17.134999999999994</v>
      </c>
    </row>
    <row r="110" spans="1:4" x14ac:dyDescent="0.25">
      <c r="A110">
        <f t="shared" si="5"/>
        <v>1.8000000000000012</v>
      </c>
      <c r="B110" s="2">
        <f t="shared" si="4"/>
        <v>0</v>
      </c>
      <c r="C110" s="2">
        <f t="shared" si="6"/>
        <v>0</v>
      </c>
      <c r="D110" s="2">
        <f t="shared" si="7"/>
        <v>17.134999999999994</v>
      </c>
    </row>
    <row r="111" spans="1:4" x14ac:dyDescent="0.25">
      <c r="A111">
        <f t="shared" si="5"/>
        <v>1.8200000000000012</v>
      </c>
      <c r="B111" s="2">
        <f t="shared" si="4"/>
        <v>0</v>
      </c>
      <c r="C111" s="2">
        <f t="shared" si="6"/>
        <v>0</v>
      </c>
      <c r="D111" s="2">
        <f t="shared" si="7"/>
        <v>17.134999999999994</v>
      </c>
    </row>
    <row r="112" spans="1:4" x14ac:dyDescent="0.25">
      <c r="A112">
        <f t="shared" si="5"/>
        <v>1.8400000000000012</v>
      </c>
      <c r="B112" s="2">
        <f t="shared" si="4"/>
        <v>0</v>
      </c>
      <c r="C112" s="2">
        <f t="shared" si="6"/>
        <v>0</v>
      </c>
      <c r="D112" s="2">
        <f t="shared" si="7"/>
        <v>17.134999999999994</v>
      </c>
    </row>
    <row r="113" spans="1:4" x14ac:dyDescent="0.25">
      <c r="A113">
        <f t="shared" si="5"/>
        <v>1.8600000000000012</v>
      </c>
      <c r="B113" s="2">
        <f t="shared" si="4"/>
        <v>0</v>
      </c>
      <c r="C113" s="2">
        <f t="shared" si="6"/>
        <v>0</v>
      </c>
      <c r="D113" s="2">
        <f t="shared" si="7"/>
        <v>17.134999999999994</v>
      </c>
    </row>
    <row r="114" spans="1:4" x14ac:dyDescent="0.25">
      <c r="A114">
        <f t="shared" si="5"/>
        <v>1.8800000000000012</v>
      </c>
      <c r="B114" s="2">
        <f t="shared" si="4"/>
        <v>0</v>
      </c>
      <c r="C114" s="2">
        <f t="shared" si="6"/>
        <v>0</v>
      </c>
      <c r="D114" s="2">
        <f t="shared" si="7"/>
        <v>17.134999999999994</v>
      </c>
    </row>
    <row r="115" spans="1:4" x14ac:dyDescent="0.25">
      <c r="A115">
        <f t="shared" si="5"/>
        <v>1.9000000000000012</v>
      </c>
      <c r="B115" s="2">
        <f t="shared" si="4"/>
        <v>0</v>
      </c>
      <c r="C115" s="2">
        <f t="shared" si="6"/>
        <v>0</v>
      </c>
      <c r="D115" s="2">
        <f t="shared" si="7"/>
        <v>17.134999999999994</v>
      </c>
    </row>
    <row r="116" spans="1:4" x14ac:dyDescent="0.25">
      <c r="A116">
        <f t="shared" si="5"/>
        <v>1.9200000000000013</v>
      </c>
      <c r="B116" s="2">
        <f t="shared" si="4"/>
        <v>0</v>
      </c>
      <c r="C116" s="2">
        <f t="shared" si="6"/>
        <v>0</v>
      </c>
      <c r="D116" s="2">
        <f t="shared" si="7"/>
        <v>17.134999999999994</v>
      </c>
    </row>
    <row r="117" spans="1:4" x14ac:dyDescent="0.25">
      <c r="A117">
        <f t="shared" si="5"/>
        <v>1.9400000000000013</v>
      </c>
      <c r="B117" s="2">
        <f t="shared" si="4"/>
        <v>0</v>
      </c>
      <c r="C117" s="2">
        <f t="shared" si="6"/>
        <v>0</v>
      </c>
      <c r="D117" s="2">
        <f t="shared" si="7"/>
        <v>17.134999999999994</v>
      </c>
    </row>
    <row r="118" spans="1:4" x14ac:dyDescent="0.25">
      <c r="A118">
        <f t="shared" si="5"/>
        <v>1.9600000000000013</v>
      </c>
      <c r="B118" s="2">
        <f t="shared" si="4"/>
        <v>0</v>
      </c>
      <c r="C118" s="2">
        <f t="shared" si="6"/>
        <v>0</v>
      </c>
      <c r="D118" s="2">
        <f t="shared" si="7"/>
        <v>17.134999999999994</v>
      </c>
    </row>
    <row r="119" spans="1:4" x14ac:dyDescent="0.25">
      <c r="A119">
        <f t="shared" si="5"/>
        <v>1.9800000000000013</v>
      </c>
      <c r="B119" s="2">
        <f t="shared" si="4"/>
        <v>0</v>
      </c>
      <c r="C119" s="2">
        <f t="shared" si="6"/>
        <v>0</v>
      </c>
      <c r="D119" s="2">
        <f t="shared" si="7"/>
        <v>17.134999999999994</v>
      </c>
    </row>
    <row r="120" spans="1:4" x14ac:dyDescent="0.25">
      <c r="A120">
        <f t="shared" si="5"/>
        <v>2.0000000000000013</v>
      </c>
      <c r="B120" s="2">
        <f t="shared" si="4"/>
        <v>0</v>
      </c>
      <c r="C120" s="2">
        <f t="shared" si="6"/>
        <v>0</v>
      </c>
      <c r="D120" s="2">
        <f t="shared" si="7"/>
        <v>17.134999999999994</v>
      </c>
    </row>
    <row r="121" spans="1:4" x14ac:dyDescent="0.25">
      <c r="A121">
        <f t="shared" si="5"/>
        <v>2.0200000000000014</v>
      </c>
      <c r="B121" s="2">
        <f t="shared" si="4"/>
        <v>0</v>
      </c>
      <c r="C121" s="2">
        <f t="shared" si="6"/>
        <v>0</v>
      </c>
      <c r="D121" s="2">
        <f t="shared" si="7"/>
        <v>17.134999999999994</v>
      </c>
    </row>
    <row r="122" spans="1:4" x14ac:dyDescent="0.25">
      <c r="A122">
        <f t="shared" si="5"/>
        <v>2.0400000000000014</v>
      </c>
      <c r="B122" s="2">
        <f t="shared" si="4"/>
        <v>0</v>
      </c>
      <c r="C122" s="2">
        <f t="shared" si="6"/>
        <v>0</v>
      </c>
      <c r="D122" s="2">
        <f t="shared" si="7"/>
        <v>17.134999999999994</v>
      </c>
    </row>
    <row r="123" spans="1:4" x14ac:dyDescent="0.25">
      <c r="A123">
        <f t="shared" si="5"/>
        <v>2.0600000000000014</v>
      </c>
      <c r="B123" s="2">
        <f t="shared" si="4"/>
        <v>0</v>
      </c>
      <c r="C123" s="2">
        <f t="shared" si="6"/>
        <v>0</v>
      </c>
      <c r="D123" s="2">
        <f t="shared" si="7"/>
        <v>17.134999999999994</v>
      </c>
    </row>
    <row r="124" spans="1:4" x14ac:dyDescent="0.25">
      <c r="A124">
        <f t="shared" si="5"/>
        <v>2.0800000000000014</v>
      </c>
      <c r="B124" s="2">
        <f t="shared" si="4"/>
        <v>0</v>
      </c>
      <c r="C124" s="2">
        <f t="shared" si="6"/>
        <v>0</v>
      </c>
      <c r="D124" s="2">
        <f t="shared" si="7"/>
        <v>17.134999999999994</v>
      </c>
    </row>
    <row r="125" spans="1:4" x14ac:dyDescent="0.25">
      <c r="A125">
        <f t="shared" si="5"/>
        <v>2.1000000000000014</v>
      </c>
      <c r="B125" s="2">
        <f t="shared" si="4"/>
        <v>0</v>
      </c>
      <c r="C125" s="2">
        <f t="shared" si="6"/>
        <v>0</v>
      </c>
      <c r="D125" s="2">
        <f t="shared" si="7"/>
        <v>17.134999999999994</v>
      </c>
    </row>
    <row r="126" spans="1:4" x14ac:dyDescent="0.25">
      <c r="A126">
        <f t="shared" si="5"/>
        <v>2.1200000000000014</v>
      </c>
      <c r="B126" s="2">
        <f t="shared" si="4"/>
        <v>0</v>
      </c>
      <c r="C126" s="2">
        <f t="shared" si="6"/>
        <v>0</v>
      </c>
      <c r="D126" s="2">
        <f t="shared" si="7"/>
        <v>17.134999999999994</v>
      </c>
    </row>
    <row r="127" spans="1:4" x14ac:dyDescent="0.25">
      <c r="A127">
        <f t="shared" si="5"/>
        <v>2.1400000000000015</v>
      </c>
      <c r="B127" s="2">
        <f t="shared" si="4"/>
        <v>0</v>
      </c>
      <c r="C127" s="2">
        <f t="shared" si="6"/>
        <v>0</v>
      </c>
      <c r="D127" s="2">
        <f t="shared" si="7"/>
        <v>17.134999999999994</v>
      </c>
    </row>
    <row r="128" spans="1:4" x14ac:dyDescent="0.25">
      <c r="A128">
        <f t="shared" si="5"/>
        <v>2.1600000000000015</v>
      </c>
      <c r="B128" s="2">
        <f t="shared" si="4"/>
        <v>0</v>
      </c>
      <c r="C128" s="2">
        <f t="shared" si="6"/>
        <v>0</v>
      </c>
      <c r="D128" s="2">
        <f t="shared" si="7"/>
        <v>17.134999999999994</v>
      </c>
    </row>
    <row r="129" spans="1:4" x14ac:dyDescent="0.25">
      <c r="A129">
        <f t="shared" si="5"/>
        <v>2.1800000000000015</v>
      </c>
      <c r="B129" s="2">
        <f t="shared" si="4"/>
        <v>0</v>
      </c>
      <c r="C129" s="2">
        <f t="shared" si="6"/>
        <v>0</v>
      </c>
      <c r="D129" s="2">
        <f t="shared" si="7"/>
        <v>17.134999999999994</v>
      </c>
    </row>
    <row r="130" spans="1:4" x14ac:dyDescent="0.25">
      <c r="A130">
        <f t="shared" si="5"/>
        <v>2.2000000000000015</v>
      </c>
      <c r="B130" s="2">
        <f t="shared" si="4"/>
        <v>0</v>
      </c>
      <c r="C130" s="2">
        <f t="shared" si="6"/>
        <v>0</v>
      </c>
      <c r="D130" s="2">
        <f t="shared" si="7"/>
        <v>17.134999999999994</v>
      </c>
    </row>
    <row r="131" spans="1:4" x14ac:dyDescent="0.25">
      <c r="A131">
        <f t="shared" si="5"/>
        <v>2.2200000000000015</v>
      </c>
      <c r="B131" s="2">
        <f t="shared" si="4"/>
        <v>0</v>
      </c>
      <c r="C131" s="2">
        <f t="shared" si="6"/>
        <v>0</v>
      </c>
      <c r="D131" s="2">
        <f t="shared" si="7"/>
        <v>17.134999999999994</v>
      </c>
    </row>
    <row r="132" spans="1:4" x14ac:dyDescent="0.25">
      <c r="A132">
        <f t="shared" si="5"/>
        <v>2.2400000000000015</v>
      </c>
      <c r="B132" s="2">
        <f t="shared" si="4"/>
        <v>0</v>
      </c>
      <c r="C132" s="2">
        <f t="shared" si="6"/>
        <v>0</v>
      </c>
      <c r="D132" s="2">
        <f t="shared" si="7"/>
        <v>17.134999999999994</v>
      </c>
    </row>
    <row r="133" spans="1:4" x14ac:dyDescent="0.25">
      <c r="A133">
        <f t="shared" si="5"/>
        <v>2.2600000000000016</v>
      </c>
      <c r="B133" s="2">
        <f t="shared" si="4"/>
        <v>0</v>
      </c>
      <c r="C133" s="2">
        <f t="shared" si="6"/>
        <v>0</v>
      </c>
      <c r="D133" s="2">
        <f t="shared" si="7"/>
        <v>17.134999999999994</v>
      </c>
    </row>
    <row r="134" spans="1:4" x14ac:dyDescent="0.25">
      <c r="A134">
        <f t="shared" si="5"/>
        <v>2.2800000000000016</v>
      </c>
      <c r="B134" s="2">
        <f t="shared" si="4"/>
        <v>0</v>
      </c>
      <c r="C134" s="2">
        <f t="shared" si="6"/>
        <v>0</v>
      </c>
      <c r="D134" s="2">
        <f t="shared" si="7"/>
        <v>17.134999999999994</v>
      </c>
    </row>
    <row r="135" spans="1:4" x14ac:dyDescent="0.25">
      <c r="A135">
        <f t="shared" si="5"/>
        <v>2.3000000000000016</v>
      </c>
      <c r="B135" s="2">
        <f t="shared" si="4"/>
        <v>0</v>
      </c>
      <c r="C135" s="2">
        <f t="shared" si="6"/>
        <v>0</v>
      </c>
      <c r="D135" s="2">
        <f t="shared" si="7"/>
        <v>17.134999999999994</v>
      </c>
    </row>
    <row r="136" spans="1:4" x14ac:dyDescent="0.25">
      <c r="A136">
        <f t="shared" si="5"/>
        <v>2.3200000000000016</v>
      </c>
      <c r="B136" s="2">
        <f t="shared" si="4"/>
        <v>0</v>
      </c>
      <c r="C136" s="2">
        <f t="shared" si="6"/>
        <v>0</v>
      </c>
      <c r="D136" s="2">
        <f t="shared" si="7"/>
        <v>17.134999999999994</v>
      </c>
    </row>
    <row r="137" spans="1:4" x14ac:dyDescent="0.25">
      <c r="A137">
        <f t="shared" si="5"/>
        <v>2.3400000000000016</v>
      </c>
      <c r="B137" s="2">
        <f t="shared" si="4"/>
        <v>0</v>
      </c>
      <c r="C137" s="2">
        <f t="shared" si="6"/>
        <v>0</v>
      </c>
      <c r="D137" s="2">
        <f t="shared" si="7"/>
        <v>17.134999999999994</v>
      </c>
    </row>
    <row r="138" spans="1:4" x14ac:dyDescent="0.25">
      <c r="A138">
        <f t="shared" si="5"/>
        <v>2.3600000000000017</v>
      </c>
      <c r="B138" s="2">
        <f t="shared" si="4"/>
        <v>0</v>
      </c>
      <c r="C138" s="2">
        <f t="shared" si="6"/>
        <v>0</v>
      </c>
      <c r="D138" s="2">
        <f t="shared" si="7"/>
        <v>17.134999999999994</v>
      </c>
    </row>
    <row r="139" spans="1:4" x14ac:dyDescent="0.25">
      <c r="A139">
        <f t="shared" si="5"/>
        <v>2.3800000000000017</v>
      </c>
      <c r="B139" s="2">
        <f t="shared" si="4"/>
        <v>0</v>
      </c>
      <c r="C139" s="2">
        <f t="shared" si="6"/>
        <v>0</v>
      </c>
      <c r="D139" s="2">
        <f t="shared" si="7"/>
        <v>17.134999999999994</v>
      </c>
    </row>
    <row r="140" spans="1:4" x14ac:dyDescent="0.25">
      <c r="A140">
        <f t="shared" si="5"/>
        <v>2.4000000000000017</v>
      </c>
      <c r="B140" s="2">
        <f t="shared" si="4"/>
        <v>0</v>
      </c>
      <c r="C140" s="2">
        <f t="shared" si="6"/>
        <v>0</v>
      </c>
      <c r="D140" s="2">
        <f t="shared" si="7"/>
        <v>17.134999999999994</v>
      </c>
    </row>
    <row r="141" spans="1:4" x14ac:dyDescent="0.25">
      <c r="A141">
        <f t="shared" si="5"/>
        <v>2.4200000000000017</v>
      </c>
      <c r="B141" s="2">
        <f t="shared" si="4"/>
        <v>0</v>
      </c>
      <c r="C141" s="2">
        <f t="shared" si="6"/>
        <v>0</v>
      </c>
      <c r="D141" s="2">
        <f t="shared" si="7"/>
        <v>17.134999999999994</v>
      </c>
    </row>
    <row r="142" spans="1:4" x14ac:dyDescent="0.25">
      <c r="A142">
        <f t="shared" si="5"/>
        <v>2.4400000000000017</v>
      </c>
      <c r="B142" s="2">
        <f t="shared" si="4"/>
        <v>0</v>
      </c>
      <c r="C142" s="2">
        <f t="shared" si="6"/>
        <v>0</v>
      </c>
      <c r="D142" s="2">
        <f t="shared" si="7"/>
        <v>17.134999999999994</v>
      </c>
    </row>
    <row r="143" spans="1:4" x14ac:dyDescent="0.25">
      <c r="A143">
        <f t="shared" si="5"/>
        <v>2.4600000000000017</v>
      </c>
      <c r="B143" s="2">
        <f t="shared" si="4"/>
        <v>0</v>
      </c>
      <c r="C143" s="2">
        <f t="shared" si="6"/>
        <v>0</v>
      </c>
      <c r="D143" s="2">
        <f t="shared" si="7"/>
        <v>17.134999999999994</v>
      </c>
    </row>
    <row r="144" spans="1:4" x14ac:dyDescent="0.25">
      <c r="A144">
        <f t="shared" si="5"/>
        <v>2.4800000000000018</v>
      </c>
      <c r="B144" s="2">
        <f t="shared" si="4"/>
        <v>0</v>
      </c>
      <c r="C144" s="2">
        <f t="shared" si="6"/>
        <v>0</v>
      </c>
      <c r="D144" s="2">
        <f t="shared" si="7"/>
        <v>17.134999999999994</v>
      </c>
    </row>
    <row r="145" spans="1:4" x14ac:dyDescent="0.25">
      <c r="A145">
        <f t="shared" si="5"/>
        <v>2.5000000000000018</v>
      </c>
      <c r="B145" s="2">
        <f t="shared" si="4"/>
        <v>0</v>
      </c>
      <c r="C145" s="2">
        <f t="shared" si="6"/>
        <v>0</v>
      </c>
      <c r="D145" s="2">
        <f t="shared" si="7"/>
        <v>17.134999999999994</v>
      </c>
    </row>
    <row r="146" spans="1:4" x14ac:dyDescent="0.25">
      <c r="A146">
        <f t="shared" si="5"/>
        <v>2.5200000000000018</v>
      </c>
      <c r="B146" s="2">
        <f t="shared" si="4"/>
        <v>0</v>
      </c>
      <c r="C146" s="2">
        <f t="shared" si="6"/>
        <v>0</v>
      </c>
      <c r="D146" s="2">
        <f t="shared" si="7"/>
        <v>17.134999999999994</v>
      </c>
    </row>
    <row r="147" spans="1:4" x14ac:dyDescent="0.25">
      <c r="A147">
        <f t="shared" si="5"/>
        <v>2.5400000000000018</v>
      </c>
      <c r="B147" s="2">
        <f t="shared" si="4"/>
        <v>0</v>
      </c>
      <c r="C147" s="2">
        <f t="shared" si="6"/>
        <v>0</v>
      </c>
      <c r="D147" s="2">
        <f t="shared" si="7"/>
        <v>17.134999999999994</v>
      </c>
    </row>
    <row r="148" spans="1:4" x14ac:dyDescent="0.25">
      <c r="A148">
        <f t="shared" si="5"/>
        <v>2.5600000000000018</v>
      </c>
      <c r="B148" s="2">
        <f t="shared" si="4"/>
        <v>0</v>
      </c>
      <c r="C148" s="2">
        <f t="shared" si="6"/>
        <v>0</v>
      </c>
      <c r="D148" s="2">
        <f t="shared" si="7"/>
        <v>17.134999999999994</v>
      </c>
    </row>
    <row r="149" spans="1:4" x14ac:dyDescent="0.25">
      <c r="A149">
        <f t="shared" si="5"/>
        <v>2.5800000000000018</v>
      </c>
      <c r="B149" s="2">
        <f t="shared" ref="B149:B212" si="8">MAX(0,IF(A149&lt;$B$14,B148+$B$8,IF(AND(A149&gt;=$B$14,A149&lt;=$B$15),$B$11/$B$2,B148-$B$8)))</f>
        <v>0</v>
      </c>
      <c r="C149" s="2">
        <f t="shared" si="6"/>
        <v>0</v>
      </c>
      <c r="D149" s="2">
        <f t="shared" si="7"/>
        <v>17.134999999999994</v>
      </c>
    </row>
    <row r="150" spans="1:4" x14ac:dyDescent="0.25">
      <c r="A150">
        <f t="shared" ref="A150:A213" si="9">A149+$B$1</f>
        <v>2.6000000000000019</v>
      </c>
      <c r="B150" s="2">
        <f t="shared" si="8"/>
        <v>0</v>
      </c>
      <c r="C150" s="2">
        <f t="shared" ref="C150:C213" si="10">B150*$B$2</f>
        <v>0</v>
      </c>
      <c r="D150" s="2">
        <f t="shared" ref="D150:D213" si="11">D149+C149*$B$1</f>
        <v>17.134999999999994</v>
      </c>
    </row>
    <row r="151" spans="1:4" x14ac:dyDescent="0.25">
      <c r="A151">
        <f t="shared" si="9"/>
        <v>2.6200000000000019</v>
      </c>
      <c r="B151" s="2">
        <f t="shared" si="8"/>
        <v>0</v>
      </c>
      <c r="C151" s="2">
        <f t="shared" si="10"/>
        <v>0</v>
      </c>
      <c r="D151" s="2">
        <f t="shared" si="11"/>
        <v>17.134999999999994</v>
      </c>
    </row>
    <row r="152" spans="1:4" x14ac:dyDescent="0.25">
      <c r="A152">
        <f t="shared" si="9"/>
        <v>2.6400000000000019</v>
      </c>
      <c r="B152" s="2">
        <f t="shared" si="8"/>
        <v>0</v>
      </c>
      <c r="C152" s="2">
        <f t="shared" si="10"/>
        <v>0</v>
      </c>
      <c r="D152" s="2">
        <f t="shared" si="11"/>
        <v>17.134999999999994</v>
      </c>
    </row>
    <row r="153" spans="1:4" x14ac:dyDescent="0.25">
      <c r="A153">
        <f t="shared" si="9"/>
        <v>2.6600000000000019</v>
      </c>
      <c r="B153" s="2">
        <f t="shared" si="8"/>
        <v>0</v>
      </c>
      <c r="C153" s="2">
        <f t="shared" si="10"/>
        <v>0</v>
      </c>
      <c r="D153" s="2">
        <f t="shared" si="11"/>
        <v>17.134999999999994</v>
      </c>
    </row>
    <row r="154" spans="1:4" x14ac:dyDescent="0.25">
      <c r="A154">
        <f t="shared" si="9"/>
        <v>2.6800000000000019</v>
      </c>
      <c r="B154" s="2">
        <f t="shared" si="8"/>
        <v>0</v>
      </c>
      <c r="C154" s="2">
        <f t="shared" si="10"/>
        <v>0</v>
      </c>
      <c r="D154" s="2">
        <f t="shared" si="11"/>
        <v>17.134999999999994</v>
      </c>
    </row>
    <row r="155" spans="1:4" x14ac:dyDescent="0.25">
      <c r="A155">
        <f t="shared" si="9"/>
        <v>2.700000000000002</v>
      </c>
      <c r="B155" s="2">
        <f t="shared" si="8"/>
        <v>0</v>
      </c>
      <c r="C155" s="2">
        <f t="shared" si="10"/>
        <v>0</v>
      </c>
      <c r="D155" s="2">
        <f t="shared" si="11"/>
        <v>17.134999999999994</v>
      </c>
    </row>
    <row r="156" spans="1:4" x14ac:dyDescent="0.25">
      <c r="A156">
        <f t="shared" si="9"/>
        <v>2.720000000000002</v>
      </c>
      <c r="B156" s="2">
        <f t="shared" si="8"/>
        <v>0</v>
      </c>
      <c r="C156" s="2">
        <f t="shared" si="10"/>
        <v>0</v>
      </c>
      <c r="D156" s="2">
        <f t="shared" si="11"/>
        <v>17.134999999999994</v>
      </c>
    </row>
    <row r="157" spans="1:4" x14ac:dyDescent="0.25">
      <c r="A157">
        <f t="shared" si="9"/>
        <v>2.740000000000002</v>
      </c>
      <c r="B157" s="2">
        <f t="shared" si="8"/>
        <v>0</v>
      </c>
      <c r="C157" s="2">
        <f t="shared" si="10"/>
        <v>0</v>
      </c>
      <c r="D157" s="2">
        <f t="shared" si="11"/>
        <v>17.134999999999994</v>
      </c>
    </row>
    <row r="158" spans="1:4" x14ac:dyDescent="0.25">
      <c r="A158">
        <f t="shared" si="9"/>
        <v>2.760000000000002</v>
      </c>
      <c r="B158" s="2">
        <f t="shared" si="8"/>
        <v>0</v>
      </c>
      <c r="C158" s="2">
        <f t="shared" si="10"/>
        <v>0</v>
      </c>
      <c r="D158" s="2">
        <f t="shared" si="11"/>
        <v>17.134999999999994</v>
      </c>
    </row>
    <row r="159" spans="1:4" x14ac:dyDescent="0.25">
      <c r="A159">
        <f t="shared" si="9"/>
        <v>2.780000000000002</v>
      </c>
      <c r="B159" s="2">
        <f t="shared" si="8"/>
        <v>0</v>
      </c>
      <c r="C159" s="2">
        <f t="shared" si="10"/>
        <v>0</v>
      </c>
      <c r="D159" s="2">
        <f t="shared" si="11"/>
        <v>17.134999999999994</v>
      </c>
    </row>
    <row r="160" spans="1:4" x14ac:dyDescent="0.25">
      <c r="A160">
        <f t="shared" si="9"/>
        <v>2.800000000000002</v>
      </c>
      <c r="B160" s="2">
        <f t="shared" si="8"/>
        <v>0</v>
      </c>
      <c r="C160" s="2">
        <f t="shared" si="10"/>
        <v>0</v>
      </c>
      <c r="D160" s="2">
        <f t="shared" si="11"/>
        <v>17.134999999999994</v>
      </c>
    </row>
    <row r="161" spans="1:4" x14ac:dyDescent="0.25">
      <c r="A161">
        <f t="shared" si="9"/>
        <v>2.8200000000000021</v>
      </c>
      <c r="B161" s="2">
        <f t="shared" si="8"/>
        <v>0</v>
      </c>
      <c r="C161" s="2">
        <f t="shared" si="10"/>
        <v>0</v>
      </c>
      <c r="D161" s="2">
        <f t="shared" si="11"/>
        <v>17.134999999999994</v>
      </c>
    </row>
    <row r="162" spans="1:4" x14ac:dyDescent="0.25">
      <c r="A162">
        <f t="shared" si="9"/>
        <v>2.8400000000000021</v>
      </c>
      <c r="B162" s="2">
        <f t="shared" si="8"/>
        <v>0</v>
      </c>
      <c r="C162" s="2">
        <f t="shared" si="10"/>
        <v>0</v>
      </c>
      <c r="D162" s="2">
        <f t="shared" si="11"/>
        <v>17.134999999999994</v>
      </c>
    </row>
    <row r="163" spans="1:4" x14ac:dyDescent="0.25">
      <c r="A163">
        <f t="shared" si="9"/>
        <v>2.8600000000000021</v>
      </c>
      <c r="B163" s="2">
        <f t="shared" si="8"/>
        <v>0</v>
      </c>
      <c r="C163" s="2">
        <f t="shared" si="10"/>
        <v>0</v>
      </c>
      <c r="D163" s="2">
        <f t="shared" si="11"/>
        <v>17.134999999999994</v>
      </c>
    </row>
    <row r="164" spans="1:4" x14ac:dyDescent="0.25">
      <c r="A164">
        <f t="shared" si="9"/>
        <v>2.8800000000000021</v>
      </c>
      <c r="B164" s="2">
        <f t="shared" si="8"/>
        <v>0</v>
      </c>
      <c r="C164" s="2">
        <f t="shared" si="10"/>
        <v>0</v>
      </c>
      <c r="D164" s="2">
        <f t="shared" si="11"/>
        <v>17.134999999999994</v>
      </c>
    </row>
    <row r="165" spans="1:4" x14ac:dyDescent="0.25">
      <c r="A165">
        <f t="shared" si="9"/>
        <v>2.9000000000000021</v>
      </c>
      <c r="B165" s="2">
        <f t="shared" si="8"/>
        <v>0</v>
      </c>
      <c r="C165" s="2">
        <f t="shared" si="10"/>
        <v>0</v>
      </c>
      <c r="D165" s="2">
        <f t="shared" si="11"/>
        <v>17.134999999999994</v>
      </c>
    </row>
    <row r="166" spans="1:4" x14ac:dyDescent="0.25">
      <c r="A166">
        <f t="shared" si="9"/>
        <v>2.9200000000000021</v>
      </c>
      <c r="B166" s="2">
        <f t="shared" si="8"/>
        <v>0</v>
      </c>
      <c r="C166" s="2">
        <f t="shared" si="10"/>
        <v>0</v>
      </c>
      <c r="D166" s="2">
        <f t="shared" si="11"/>
        <v>17.134999999999994</v>
      </c>
    </row>
    <row r="167" spans="1:4" x14ac:dyDescent="0.25">
      <c r="A167">
        <f t="shared" si="9"/>
        <v>2.9400000000000022</v>
      </c>
      <c r="B167" s="2">
        <f t="shared" si="8"/>
        <v>0</v>
      </c>
      <c r="C167" s="2">
        <f t="shared" si="10"/>
        <v>0</v>
      </c>
      <c r="D167" s="2">
        <f t="shared" si="11"/>
        <v>17.134999999999994</v>
      </c>
    </row>
    <row r="168" spans="1:4" x14ac:dyDescent="0.25">
      <c r="A168">
        <f t="shared" si="9"/>
        <v>2.9600000000000022</v>
      </c>
      <c r="B168" s="2">
        <f t="shared" si="8"/>
        <v>0</v>
      </c>
      <c r="C168" s="2">
        <f t="shared" si="10"/>
        <v>0</v>
      </c>
      <c r="D168" s="2">
        <f t="shared" si="11"/>
        <v>17.134999999999994</v>
      </c>
    </row>
    <row r="169" spans="1:4" x14ac:dyDescent="0.25">
      <c r="A169">
        <f t="shared" si="9"/>
        <v>2.9800000000000022</v>
      </c>
      <c r="B169" s="2">
        <f t="shared" si="8"/>
        <v>0</v>
      </c>
      <c r="C169" s="2">
        <f t="shared" si="10"/>
        <v>0</v>
      </c>
      <c r="D169" s="2">
        <f t="shared" si="11"/>
        <v>17.134999999999994</v>
      </c>
    </row>
    <row r="170" spans="1:4" x14ac:dyDescent="0.25">
      <c r="A170">
        <f t="shared" si="9"/>
        <v>3.0000000000000022</v>
      </c>
      <c r="B170" s="2">
        <f t="shared" si="8"/>
        <v>0</v>
      </c>
      <c r="C170" s="2">
        <f t="shared" si="10"/>
        <v>0</v>
      </c>
      <c r="D170" s="2">
        <f t="shared" si="11"/>
        <v>17.134999999999994</v>
      </c>
    </row>
    <row r="171" spans="1:4" x14ac:dyDescent="0.25">
      <c r="A171">
        <f t="shared" si="9"/>
        <v>3.0200000000000022</v>
      </c>
      <c r="B171" s="2">
        <f t="shared" si="8"/>
        <v>0</v>
      </c>
      <c r="C171" s="2">
        <f t="shared" si="10"/>
        <v>0</v>
      </c>
      <c r="D171" s="2">
        <f t="shared" si="11"/>
        <v>17.134999999999994</v>
      </c>
    </row>
    <row r="172" spans="1:4" x14ac:dyDescent="0.25">
      <c r="A172">
        <f t="shared" si="9"/>
        <v>3.0400000000000023</v>
      </c>
      <c r="B172" s="2">
        <f t="shared" si="8"/>
        <v>0</v>
      </c>
      <c r="C172" s="2">
        <f t="shared" si="10"/>
        <v>0</v>
      </c>
      <c r="D172" s="2">
        <f t="shared" si="11"/>
        <v>17.134999999999994</v>
      </c>
    </row>
    <row r="173" spans="1:4" x14ac:dyDescent="0.25">
      <c r="A173">
        <f t="shared" si="9"/>
        <v>3.0600000000000023</v>
      </c>
      <c r="B173" s="2">
        <f t="shared" si="8"/>
        <v>0</v>
      </c>
      <c r="C173" s="2">
        <f t="shared" si="10"/>
        <v>0</v>
      </c>
      <c r="D173" s="2">
        <f t="shared" si="11"/>
        <v>17.134999999999994</v>
      </c>
    </row>
    <row r="174" spans="1:4" x14ac:dyDescent="0.25">
      <c r="A174">
        <f t="shared" si="9"/>
        <v>3.0800000000000023</v>
      </c>
      <c r="B174" s="2">
        <f t="shared" si="8"/>
        <v>0</v>
      </c>
      <c r="C174" s="2">
        <f t="shared" si="10"/>
        <v>0</v>
      </c>
      <c r="D174" s="2">
        <f t="shared" si="11"/>
        <v>17.134999999999994</v>
      </c>
    </row>
    <row r="175" spans="1:4" x14ac:dyDescent="0.25">
      <c r="A175">
        <f t="shared" si="9"/>
        <v>3.1000000000000023</v>
      </c>
      <c r="B175" s="2">
        <f t="shared" si="8"/>
        <v>0</v>
      </c>
      <c r="C175" s="2">
        <f t="shared" si="10"/>
        <v>0</v>
      </c>
      <c r="D175" s="2">
        <f t="shared" si="11"/>
        <v>17.134999999999994</v>
      </c>
    </row>
    <row r="176" spans="1:4" x14ac:dyDescent="0.25">
      <c r="A176">
        <f t="shared" si="9"/>
        <v>3.1200000000000023</v>
      </c>
      <c r="B176" s="2">
        <f t="shared" si="8"/>
        <v>0</v>
      </c>
      <c r="C176" s="2">
        <f t="shared" si="10"/>
        <v>0</v>
      </c>
      <c r="D176" s="2">
        <f t="shared" si="11"/>
        <v>17.134999999999994</v>
      </c>
    </row>
    <row r="177" spans="1:4" x14ac:dyDescent="0.25">
      <c r="A177">
        <f t="shared" si="9"/>
        <v>3.1400000000000023</v>
      </c>
      <c r="B177" s="2">
        <f t="shared" si="8"/>
        <v>0</v>
      </c>
      <c r="C177" s="2">
        <f t="shared" si="10"/>
        <v>0</v>
      </c>
      <c r="D177" s="2">
        <f t="shared" si="11"/>
        <v>17.134999999999994</v>
      </c>
    </row>
    <row r="178" spans="1:4" x14ac:dyDescent="0.25">
      <c r="A178">
        <f t="shared" si="9"/>
        <v>3.1600000000000024</v>
      </c>
      <c r="B178" s="2">
        <f t="shared" si="8"/>
        <v>0</v>
      </c>
      <c r="C178" s="2">
        <f t="shared" si="10"/>
        <v>0</v>
      </c>
      <c r="D178" s="2">
        <f t="shared" si="11"/>
        <v>17.134999999999994</v>
      </c>
    </row>
    <row r="179" spans="1:4" x14ac:dyDescent="0.25">
      <c r="A179">
        <f t="shared" si="9"/>
        <v>3.1800000000000024</v>
      </c>
      <c r="B179" s="2">
        <f t="shared" si="8"/>
        <v>0</v>
      </c>
      <c r="C179" s="2">
        <f t="shared" si="10"/>
        <v>0</v>
      </c>
      <c r="D179" s="2">
        <f t="shared" si="11"/>
        <v>17.134999999999994</v>
      </c>
    </row>
    <row r="180" spans="1:4" x14ac:dyDescent="0.25">
      <c r="A180">
        <f t="shared" si="9"/>
        <v>3.2000000000000024</v>
      </c>
      <c r="B180" s="2">
        <f t="shared" si="8"/>
        <v>0</v>
      </c>
      <c r="C180" s="2">
        <f t="shared" si="10"/>
        <v>0</v>
      </c>
      <c r="D180" s="2">
        <f t="shared" si="11"/>
        <v>17.134999999999994</v>
      </c>
    </row>
    <row r="181" spans="1:4" x14ac:dyDescent="0.25">
      <c r="A181">
        <f t="shared" si="9"/>
        <v>3.2200000000000024</v>
      </c>
      <c r="B181" s="2">
        <f t="shared" si="8"/>
        <v>0</v>
      </c>
      <c r="C181" s="2">
        <f t="shared" si="10"/>
        <v>0</v>
      </c>
      <c r="D181" s="2">
        <f t="shared" si="11"/>
        <v>17.134999999999994</v>
      </c>
    </row>
    <row r="182" spans="1:4" x14ac:dyDescent="0.25">
      <c r="A182">
        <f t="shared" si="9"/>
        <v>3.2400000000000024</v>
      </c>
      <c r="B182" s="2">
        <f t="shared" si="8"/>
        <v>0</v>
      </c>
      <c r="C182" s="2">
        <f t="shared" si="10"/>
        <v>0</v>
      </c>
      <c r="D182" s="2">
        <f t="shared" si="11"/>
        <v>17.134999999999994</v>
      </c>
    </row>
    <row r="183" spans="1:4" x14ac:dyDescent="0.25">
      <c r="A183">
        <f t="shared" si="9"/>
        <v>3.2600000000000025</v>
      </c>
      <c r="B183" s="2">
        <f t="shared" si="8"/>
        <v>0</v>
      </c>
      <c r="C183" s="2">
        <f t="shared" si="10"/>
        <v>0</v>
      </c>
      <c r="D183" s="2">
        <f t="shared" si="11"/>
        <v>17.134999999999994</v>
      </c>
    </row>
    <row r="184" spans="1:4" x14ac:dyDescent="0.25">
      <c r="A184">
        <f t="shared" si="9"/>
        <v>3.2800000000000025</v>
      </c>
      <c r="B184" s="2">
        <f t="shared" si="8"/>
        <v>0</v>
      </c>
      <c r="C184" s="2">
        <f t="shared" si="10"/>
        <v>0</v>
      </c>
      <c r="D184" s="2">
        <f t="shared" si="11"/>
        <v>17.134999999999994</v>
      </c>
    </row>
    <row r="185" spans="1:4" x14ac:dyDescent="0.25">
      <c r="A185">
        <f t="shared" si="9"/>
        <v>3.3000000000000025</v>
      </c>
      <c r="B185" s="2">
        <f t="shared" si="8"/>
        <v>0</v>
      </c>
      <c r="C185" s="2">
        <f t="shared" si="10"/>
        <v>0</v>
      </c>
      <c r="D185" s="2">
        <f t="shared" si="11"/>
        <v>17.134999999999994</v>
      </c>
    </row>
    <row r="186" spans="1:4" x14ac:dyDescent="0.25">
      <c r="A186">
        <f t="shared" si="9"/>
        <v>3.3200000000000025</v>
      </c>
      <c r="B186" s="2">
        <f t="shared" si="8"/>
        <v>0</v>
      </c>
      <c r="C186" s="2">
        <f t="shared" si="10"/>
        <v>0</v>
      </c>
      <c r="D186" s="2">
        <f t="shared" si="11"/>
        <v>17.134999999999994</v>
      </c>
    </row>
    <row r="187" spans="1:4" x14ac:dyDescent="0.25">
      <c r="A187">
        <f t="shared" si="9"/>
        <v>3.3400000000000025</v>
      </c>
      <c r="B187" s="2">
        <f t="shared" si="8"/>
        <v>0</v>
      </c>
      <c r="C187" s="2">
        <f t="shared" si="10"/>
        <v>0</v>
      </c>
      <c r="D187" s="2">
        <f t="shared" si="11"/>
        <v>17.134999999999994</v>
      </c>
    </row>
    <row r="188" spans="1:4" x14ac:dyDescent="0.25">
      <c r="A188">
        <f t="shared" si="9"/>
        <v>3.3600000000000025</v>
      </c>
      <c r="B188" s="2">
        <f t="shared" si="8"/>
        <v>0</v>
      </c>
      <c r="C188" s="2">
        <f t="shared" si="10"/>
        <v>0</v>
      </c>
      <c r="D188" s="2">
        <f t="shared" si="11"/>
        <v>17.134999999999994</v>
      </c>
    </row>
    <row r="189" spans="1:4" x14ac:dyDescent="0.25">
      <c r="A189">
        <f t="shared" si="9"/>
        <v>3.3800000000000026</v>
      </c>
      <c r="B189" s="2">
        <f t="shared" si="8"/>
        <v>0</v>
      </c>
      <c r="C189" s="2">
        <f t="shared" si="10"/>
        <v>0</v>
      </c>
      <c r="D189" s="2">
        <f t="shared" si="11"/>
        <v>17.134999999999994</v>
      </c>
    </row>
    <row r="190" spans="1:4" x14ac:dyDescent="0.25">
      <c r="A190">
        <f t="shared" si="9"/>
        <v>3.4000000000000026</v>
      </c>
      <c r="B190" s="2">
        <f t="shared" si="8"/>
        <v>0</v>
      </c>
      <c r="C190" s="2">
        <f t="shared" si="10"/>
        <v>0</v>
      </c>
      <c r="D190" s="2">
        <f t="shared" si="11"/>
        <v>17.134999999999994</v>
      </c>
    </row>
    <row r="191" spans="1:4" x14ac:dyDescent="0.25">
      <c r="A191">
        <f t="shared" si="9"/>
        <v>3.4200000000000026</v>
      </c>
      <c r="B191" s="2">
        <f t="shared" si="8"/>
        <v>0</v>
      </c>
      <c r="C191" s="2">
        <f t="shared" si="10"/>
        <v>0</v>
      </c>
      <c r="D191" s="2">
        <f t="shared" si="11"/>
        <v>17.134999999999994</v>
      </c>
    </row>
    <row r="192" spans="1:4" x14ac:dyDescent="0.25">
      <c r="A192">
        <f t="shared" si="9"/>
        <v>3.4400000000000026</v>
      </c>
      <c r="B192" s="2">
        <f t="shared" si="8"/>
        <v>0</v>
      </c>
      <c r="C192" s="2">
        <f t="shared" si="10"/>
        <v>0</v>
      </c>
      <c r="D192" s="2">
        <f t="shared" si="11"/>
        <v>17.134999999999994</v>
      </c>
    </row>
    <row r="193" spans="1:4" x14ac:dyDescent="0.25">
      <c r="A193">
        <f t="shared" si="9"/>
        <v>3.4600000000000026</v>
      </c>
      <c r="B193" s="2">
        <f t="shared" si="8"/>
        <v>0</v>
      </c>
      <c r="C193" s="2">
        <f t="shared" si="10"/>
        <v>0</v>
      </c>
      <c r="D193" s="2">
        <f t="shared" si="11"/>
        <v>17.134999999999994</v>
      </c>
    </row>
    <row r="194" spans="1:4" x14ac:dyDescent="0.25">
      <c r="A194">
        <f t="shared" si="9"/>
        <v>3.4800000000000026</v>
      </c>
      <c r="B194" s="2">
        <f t="shared" si="8"/>
        <v>0</v>
      </c>
      <c r="C194" s="2">
        <f t="shared" si="10"/>
        <v>0</v>
      </c>
      <c r="D194" s="2">
        <f t="shared" si="11"/>
        <v>17.134999999999994</v>
      </c>
    </row>
    <row r="195" spans="1:4" x14ac:dyDescent="0.25">
      <c r="A195">
        <f t="shared" si="9"/>
        <v>3.5000000000000027</v>
      </c>
      <c r="B195" s="2">
        <f t="shared" si="8"/>
        <v>0</v>
      </c>
      <c r="C195" s="2">
        <f t="shared" si="10"/>
        <v>0</v>
      </c>
      <c r="D195" s="2">
        <f t="shared" si="11"/>
        <v>17.134999999999994</v>
      </c>
    </row>
    <row r="196" spans="1:4" x14ac:dyDescent="0.25">
      <c r="A196">
        <f t="shared" si="9"/>
        <v>3.5200000000000027</v>
      </c>
      <c r="B196" s="2">
        <f t="shared" si="8"/>
        <v>0</v>
      </c>
      <c r="C196" s="2">
        <f t="shared" si="10"/>
        <v>0</v>
      </c>
      <c r="D196" s="2">
        <f t="shared" si="11"/>
        <v>17.134999999999994</v>
      </c>
    </row>
    <row r="197" spans="1:4" x14ac:dyDescent="0.25">
      <c r="A197">
        <f t="shared" si="9"/>
        <v>3.5400000000000027</v>
      </c>
      <c r="B197" s="2">
        <f t="shared" si="8"/>
        <v>0</v>
      </c>
      <c r="C197" s="2">
        <f t="shared" si="10"/>
        <v>0</v>
      </c>
      <c r="D197" s="2">
        <f t="shared" si="11"/>
        <v>17.134999999999994</v>
      </c>
    </row>
    <row r="198" spans="1:4" x14ac:dyDescent="0.25">
      <c r="A198">
        <f t="shared" si="9"/>
        <v>3.5600000000000027</v>
      </c>
      <c r="B198" s="2">
        <f t="shared" si="8"/>
        <v>0</v>
      </c>
      <c r="C198" s="2">
        <f t="shared" si="10"/>
        <v>0</v>
      </c>
      <c r="D198" s="2">
        <f t="shared" si="11"/>
        <v>17.134999999999994</v>
      </c>
    </row>
    <row r="199" spans="1:4" x14ac:dyDescent="0.25">
      <c r="A199">
        <f t="shared" si="9"/>
        <v>3.5800000000000027</v>
      </c>
      <c r="B199" s="2">
        <f t="shared" si="8"/>
        <v>0</v>
      </c>
      <c r="C199" s="2">
        <f t="shared" si="10"/>
        <v>0</v>
      </c>
      <c r="D199" s="2">
        <f t="shared" si="11"/>
        <v>17.134999999999994</v>
      </c>
    </row>
    <row r="200" spans="1:4" x14ac:dyDescent="0.25">
      <c r="A200">
        <f t="shared" si="9"/>
        <v>3.6000000000000028</v>
      </c>
      <c r="B200" s="2">
        <f t="shared" si="8"/>
        <v>0</v>
      </c>
      <c r="C200" s="2">
        <f t="shared" si="10"/>
        <v>0</v>
      </c>
      <c r="D200" s="2">
        <f t="shared" si="11"/>
        <v>17.134999999999994</v>
      </c>
    </row>
    <row r="201" spans="1:4" x14ac:dyDescent="0.25">
      <c r="A201">
        <f t="shared" si="9"/>
        <v>3.6200000000000028</v>
      </c>
      <c r="B201" s="2">
        <f t="shared" si="8"/>
        <v>0</v>
      </c>
      <c r="C201" s="2">
        <f t="shared" si="10"/>
        <v>0</v>
      </c>
      <c r="D201" s="2">
        <f t="shared" si="11"/>
        <v>17.134999999999994</v>
      </c>
    </row>
    <row r="202" spans="1:4" x14ac:dyDescent="0.25">
      <c r="A202">
        <f t="shared" si="9"/>
        <v>3.6400000000000028</v>
      </c>
      <c r="B202" s="2">
        <f t="shared" si="8"/>
        <v>0</v>
      </c>
      <c r="C202" s="2">
        <f t="shared" si="10"/>
        <v>0</v>
      </c>
      <c r="D202" s="2">
        <f t="shared" si="11"/>
        <v>17.134999999999994</v>
      </c>
    </row>
    <row r="203" spans="1:4" x14ac:dyDescent="0.25">
      <c r="A203">
        <f t="shared" si="9"/>
        <v>3.6600000000000028</v>
      </c>
      <c r="B203" s="2">
        <f t="shared" si="8"/>
        <v>0</v>
      </c>
      <c r="C203" s="2">
        <f t="shared" si="10"/>
        <v>0</v>
      </c>
      <c r="D203" s="2">
        <f t="shared" si="11"/>
        <v>17.134999999999994</v>
      </c>
    </row>
    <row r="204" spans="1:4" x14ac:dyDescent="0.25">
      <c r="A204">
        <f t="shared" si="9"/>
        <v>3.6800000000000028</v>
      </c>
      <c r="B204" s="2">
        <f t="shared" si="8"/>
        <v>0</v>
      </c>
      <c r="C204" s="2">
        <f t="shared" si="10"/>
        <v>0</v>
      </c>
      <c r="D204" s="2">
        <f t="shared" si="11"/>
        <v>17.134999999999994</v>
      </c>
    </row>
    <row r="205" spans="1:4" x14ac:dyDescent="0.25">
      <c r="A205">
        <f t="shared" si="9"/>
        <v>3.7000000000000028</v>
      </c>
      <c r="B205" s="2">
        <f t="shared" si="8"/>
        <v>0</v>
      </c>
      <c r="C205" s="2">
        <f t="shared" si="10"/>
        <v>0</v>
      </c>
      <c r="D205" s="2">
        <f t="shared" si="11"/>
        <v>17.134999999999994</v>
      </c>
    </row>
    <row r="206" spans="1:4" x14ac:dyDescent="0.25">
      <c r="A206">
        <f t="shared" si="9"/>
        <v>3.7200000000000029</v>
      </c>
      <c r="B206" s="2">
        <f t="shared" si="8"/>
        <v>0</v>
      </c>
      <c r="C206" s="2">
        <f t="shared" si="10"/>
        <v>0</v>
      </c>
      <c r="D206" s="2">
        <f t="shared" si="11"/>
        <v>17.134999999999994</v>
      </c>
    </row>
    <row r="207" spans="1:4" x14ac:dyDescent="0.25">
      <c r="A207">
        <f t="shared" si="9"/>
        <v>3.7400000000000029</v>
      </c>
      <c r="B207" s="2">
        <f t="shared" si="8"/>
        <v>0</v>
      </c>
      <c r="C207" s="2">
        <f t="shared" si="10"/>
        <v>0</v>
      </c>
      <c r="D207" s="2">
        <f t="shared" si="11"/>
        <v>17.134999999999994</v>
      </c>
    </row>
    <row r="208" spans="1:4" x14ac:dyDescent="0.25">
      <c r="A208">
        <f t="shared" si="9"/>
        <v>3.7600000000000029</v>
      </c>
      <c r="B208" s="2">
        <f t="shared" si="8"/>
        <v>0</v>
      </c>
      <c r="C208" s="2">
        <f t="shared" si="10"/>
        <v>0</v>
      </c>
      <c r="D208" s="2">
        <f t="shared" si="11"/>
        <v>17.134999999999994</v>
      </c>
    </row>
    <row r="209" spans="1:4" x14ac:dyDescent="0.25">
      <c r="A209">
        <f t="shared" si="9"/>
        <v>3.7800000000000029</v>
      </c>
      <c r="B209" s="2">
        <f t="shared" si="8"/>
        <v>0</v>
      </c>
      <c r="C209" s="2">
        <f t="shared" si="10"/>
        <v>0</v>
      </c>
      <c r="D209" s="2">
        <f t="shared" si="11"/>
        <v>17.134999999999994</v>
      </c>
    </row>
    <row r="210" spans="1:4" x14ac:dyDescent="0.25">
      <c r="A210">
        <f t="shared" si="9"/>
        <v>3.8000000000000029</v>
      </c>
      <c r="B210" s="2">
        <f t="shared" si="8"/>
        <v>0</v>
      </c>
      <c r="C210" s="2">
        <f t="shared" si="10"/>
        <v>0</v>
      </c>
      <c r="D210" s="2">
        <f t="shared" si="11"/>
        <v>17.134999999999994</v>
      </c>
    </row>
    <row r="211" spans="1:4" x14ac:dyDescent="0.25">
      <c r="A211">
        <f t="shared" si="9"/>
        <v>3.8200000000000029</v>
      </c>
      <c r="B211" s="2">
        <f t="shared" si="8"/>
        <v>0</v>
      </c>
      <c r="C211" s="2">
        <f t="shared" si="10"/>
        <v>0</v>
      </c>
      <c r="D211" s="2">
        <f t="shared" si="11"/>
        <v>17.134999999999994</v>
      </c>
    </row>
    <row r="212" spans="1:4" x14ac:dyDescent="0.25">
      <c r="A212">
        <f t="shared" si="9"/>
        <v>3.840000000000003</v>
      </c>
      <c r="B212" s="2">
        <f t="shared" si="8"/>
        <v>0</v>
      </c>
      <c r="C212" s="2">
        <f t="shared" si="10"/>
        <v>0</v>
      </c>
      <c r="D212" s="2">
        <f t="shared" si="11"/>
        <v>17.134999999999994</v>
      </c>
    </row>
    <row r="213" spans="1:4" x14ac:dyDescent="0.25">
      <c r="A213">
        <f t="shared" si="9"/>
        <v>3.860000000000003</v>
      </c>
      <c r="B213" s="2">
        <f t="shared" ref="B213:B276" si="12">MAX(0,IF(A213&lt;$B$14,B212+$B$8,IF(AND(A213&gt;=$B$14,A213&lt;=$B$15),$B$11/$B$2,B212-$B$8)))</f>
        <v>0</v>
      </c>
      <c r="C213" s="2">
        <f t="shared" si="10"/>
        <v>0</v>
      </c>
      <c r="D213" s="2">
        <f t="shared" si="11"/>
        <v>17.134999999999994</v>
      </c>
    </row>
    <row r="214" spans="1:4" x14ac:dyDescent="0.25">
      <c r="A214">
        <f t="shared" ref="A214:A277" si="13">A213+$B$1</f>
        <v>3.880000000000003</v>
      </c>
      <c r="B214" s="2">
        <f t="shared" si="12"/>
        <v>0</v>
      </c>
      <c r="C214" s="2">
        <f t="shared" ref="C214:C277" si="14">B214*$B$2</f>
        <v>0</v>
      </c>
      <c r="D214" s="2">
        <f t="shared" ref="D214:D277" si="15">D213+C213*$B$1</f>
        <v>17.134999999999994</v>
      </c>
    </row>
    <row r="215" spans="1:4" x14ac:dyDescent="0.25">
      <c r="A215">
        <f t="shared" si="13"/>
        <v>3.900000000000003</v>
      </c>
      <c r="B215" s="2">
        <f t="shared" si="12"/>
        <v>0</v>
      </c>
      <c r="C215" s="2">
        <f t="shared" si="14"/>
        <v>0</v>
      </c>
      <c r="D215" s="2">
        <f t="shared" si="15"/>
        <v>17.134999999999994</v>
      </c>
    </row>
    <row r="216" spans="1:4" x14ac:dyDescent="0.25">
      <c r="A216">
        <f t="shared" si="13"/>
        <v>3.920000000000003</v>
      </c>
      <c r="B216" s="2">
        <f t="shared" si="12"/>
        <v>0</v>
      </c>
      <c r="C216" s="2">
        <f t="shared" si="14"/>
        <v>0</v>
      </c>
      <c r="D216" s="2">
        <f t="shared" si="15"/>
        <v>17.134999999999994</v>
      </c>
    </row>
    <row r="217" spans="1:4" x14ac:dyDescent="0.25">
      <c r="A217">
        <f t="shared" si="13"/>
        <v>3.9400000000000031</v>
      </c>
      <c r="B217" s="2">
        <f t="shared" si="12"/>
        <v>0</v>
      </c>
      <c r="C217" s="2">
        <f t="shared" si="14"/>
        <v>0</v>
      </c>
      <c r="D217" s="2">
        <f t="shared" si="15"/>
        <v>17.134999999999994</v>
      </c>
    </row>
    <row r="218" spans="1:4" x14ac:dyDescent="0.25">
      <c r="A218">
        <f t="shared" si="13"/>
        <v>3.9600000000000031</v>
      </c>
      <c r="B218" s="2">
        <f t="shared" si="12"/>
        <v>0</v>
      </c>
      <c r="C218" s="2">
        <f t="shared" si="14"/>
        <v>0</v>
      </c>
      <c r="D218" s="2">
        <f t="shared" si="15"/>
        <v>17.134999999999994</v>
      </c>
    </row>
    <row r="219" spans="1:4" x14ac:dyDescent="0.25">
      <c r="A219">
        <f t="shared" si="13"/>
        <v>3.9800000000000031</v>
      </c>
      <c r="B219" s="2">
        <f t="shared" si="12"/>
        <v>0</v>
      </c>
      <c r="C219" s="2">
        <f t="shared" si="14"/>
        <v>0</v>
      </c>
      <c r="D219" s="2">
        <f t="shared" si="15"/>
        <v>17.134999999999994</v>
      </c>
    </row>
    <row r="220" spans="1:4" x14ac:dyDescent="0.25">
      <c r="A220">
        <f t="shared" si="13"/>
        <v>4.0000000000000027</v>
      </c>
      <c r="B220" s="2">
        <f t="shared" si="12"/>
        <v>0</v>
      </c>
      <c r="C220" s="2">
        <f t="shared" si="14"/>
        <v>0</v>
      </c>
      <c r="D220" s="2">
        <f t="shared" si="15"/>
        <v>17.134999999999994</v>
      </c>
    </row>
    <row r="221" spans="1:4" x14ac:dyDescent="0.25">
      <c r="A221">
        <f t="shared" si="13"/>
        <v>4.0200000000000022</v>
      </c>
      <c r="B221" s="2">
        <f t="shared" si="12"/>
        <v>0</v>
      </c>
      <c r="C221" s="2">
        <f t="shared" si="14"/>
        <v>0</v>
      </c>
      <c r="D221" s="2">
        <f t="shared" si="15"/>
        <v>17.134999999999994</v>
      </c>
    </row>
    <row r="222" spans="1:4" x14ac:dyDescent="0.25">
      <c r="A222">
        <f t="shared" si="13"/>
        <v>4.0400000000000018</v>
      </c>
      <c r="B222" s="2">
        <f t="shared" si="12"/>
        <v>0</v>
      </c>
      <c r="C222" s="2">
        <f t="shared" si="14"/>
        <v>0</v>
      </c>
      <c r="D222" s="2">
        <f t="shared" si="15"/>
        <v>17.134999999999994</v>
      </c>
    </row>
    <row r="223" spans="1:4" x14ac:dyDescent="0.25">
      <c r="A223">
        <f t="shared" si="13"/>
        <v>4.0600000000000014</v>
      </c>
      <c r="B223" s="2">
        <f t="shared" si="12"/>
        <v>0</v>
      </c>
      <c r="C223" s="2">
        <f t="shared" si="14"/>
        <v>0</v>
      </c>
      <c r="D223" s="2">
        <f t="shared" si="15"/>
        <v>17.134999999999994</v>
      </c>
    </row>
    <row r="224" spans="1:4" x14ac:dyDescent="0.25">
      <c r="A224">
        <f t="shared" si="13"/>
        <v>4.080000000000001</v>
      </c>
      <c r="B224" s="2">
        <f t="shared" si="12"/>
        <v>0</v>
      </c>
      <c r="C224" s="2">
        <f t="shared" si="14"/>
        <v>0</v>
      </c>
      <c r="D224" s="2">
        <f t="shared" si="15"/>
        <v>17.134999999999994</v>
      </c>
    </row>
    <row r="225" spans="1:4" x14ac:dyDescent="0.25">
      <c r="A225">
        <f t="shared" si="13"/>
        <v>4.1000000000000005</v>
      </c>
      <c r="B225" s="2">
        <f t="shared" si="12"/>
        <v>0</v>
      </c>
      <c r="C225" s="2">
        <f t="shared" si="14"/>
        <v>0</v>
      </c>
      <c r="D225" s="2">
        <f t="shared" si="15"/>
        <v>17.134999999999994</v>
      </c>
    </row>
    <row r="226" spans="1:4" x14ac:dyDescent="0.25">
      <c r="A226">
        <f t="shared" si="13"/>
        <v>4.12</v>
      </c>
      <c r="B226" s="2">
        <f t="shared" si="12"/>
        <v>0</v>
      </c>
      <c r="C226" s="2">
        <f t="shared" si="14"/>
        <v>0</v>
      </c>
      <c r="D226" s="2">
        <f t="shared" si="15"/>
        <v>17.134999999999994</v>
      </c>
    </row>
    <row r="227" spans="1:4" x14ac:dyDescent="0.25">
      <c r="A227">
        <f t="shared" si="13"/>
        <v>4.1399999999999997</v>
      </c>
      <c r="B227" s="2">
        <f t="shared" si="12"/>
        <v>0</v>
      </c>
      <c r="C227" s="2">
        <f t="shared" si="14"/>
        <v>0</v>
      </c>
      <c r="D227" s="2">
        <f t="shared" si="15"/>
        <v>17.134999999999994</v>
      </c>
    </row>
    <row r="228" spans="1:4" x14ac:dyDescent="0.25">
      <c r="A228">
        <f t="shared" si="13"/>
        <v>4.1599999999999993</v>
      </c>
      <c r="B228" s="2">
        <f t="shared" si="12"/>
        <v>0</v>
      </c>
      <c r="C228" s="2">
        <f t="shared" si="14"/>
        <v>0</v>
      </c>
      <c r="D228" s="2">
        <f t="shared" si="15"/>
        <v>17.134999999999994</v>
      </c>
    </row>
    <row r="229" spans="1:4" x14ac:dyDescent="0.25">
      <c r="A229">
        <f t="shared" si="13"/>
        <v>4.1799999999999988</v>
      </c>
      <c r="B229" s="2">
        <f t="shared" si="12"/>
        <v>0</v>
      </c>
      <c r="C229" s="2">
        <f t="shared" si="14"/>
        <v>0</v>
      </c>
      <c r="D229" s="2">
        <f t="shared" si="15"/>
        <v>17.134999999999994</v>
      </c>
    </row>
    <row r="230" spans="1:4" x14ac:dyDescent="0.25">
      <c r="A230">
        <f t="shared" si="13"/>
        <v>4.1999999999999984</v>
      </c>
      <c r="B230" s="2">
        <f t="shared" si="12"/>
        <v>0</v>
      </c>
      <c r="C230" s="2">
        <f t="shared" si="14"/>
        <v>0</v>
      </c>
      <c r="D230" s="2">
        <f t="shared" si="15"/>
        <v>17.134999999999994</v>
      </c>
    </row>
    <row r="231" spans="1:4" x14ac:dyDescent="0.25">
      <c r="A231">
        <f t="shared" si="13"/>
        <v>4.219999999999998</v>
      </c>
      <c r="B231" s="2">
        <f t="shared" si="12"/>
        <v>0</v>
      </c>
      <c r="C231" s="2">
        <f t="shared" si="14"/>
        <v>0</v>
      </c>
      <c r="D231" s="2">
        <f t="shared" si="15"/>
        <v>17.134999999999994</v>
      </c>
    </row>
    <row r="232" spans="1:4" x14ac:dyDescent="0.25">
      <c r="A232">
        <f t="shared" si="13"/>
        <v>4.2399999999999975</v>
      </c>
      <c r="B232" s="2">
        <f t="shared" si="12"/>
        <v>0</v>
      </c>
      <c r="C232" s="2">
        <f t="shared" si="14"/>
        <v>0</v>
      </c>
      <c r="D232" s="2">
        <f t="shared" si="15"/>
        <v>17.134999999999994</v>
      </c>
    </row>
    <row r="233" spans="1:4" x14ac:dyDescent="0.25">
      <c r="A233">
        <f t="shared" si="13"/>
        <v>4.2599999999999971</v>
      </c>
      <c r="B233" s="2">
        <f t="shared" si="12"/>
        <v>0</v>
      </c>
      <c r="C233" s="2">
        <f t="shared" si="14"/>
        <v>0</v>
      </c>
      <c r="D233" s="2">
        <f t="shared" si="15"/>
        <v>17.134999999999994</v>
      </c>
    </row>
    <row r="234" spans="1:4" x14ac:dyDescent="0.25">
      <c r="A234">
        <f t="shared" si="13"/>
        <v>4.2799999999999967</v>
      </c>
      <c r="B234" s="2">
        <f t="shared" si="12"/>
        <v>0</v>
      </c>
      <c r="C234" s="2">
        <f t="shared" si="14"/>
        <v>0</v>
      </c>
      <c r="D234" s="2">
        <f t="shared" si="15"/>
        <v>17.134999999999994</v>
      </c>
    </row>
    <row r="235" spans="1:4" x14ac:dyDescent="0.25">
      <c r="A235">
        <f t="shared" si="13"/>
        <v>4.2999999999999963</v>
      </c>
      <c r="B235" s="2">
        <f t="shared" si="12"/>
        <v>0</v>
      </c>
      <c r="C235" s="2">
        <f t="shared" si="14"/>
        <v>0</v>
      </c>
      <c r="D235" s="2">
        <f t="shared" si="15"/>
        <v>17.134999999999994</v>
      </c>
    </row>
    <row r="236" spans="1:4" x14ac:dyDescent="0.25">
      <c r="A236">
        <f t="shared" si="13"/>
        <v>4.3199999999999958</v>
      </c>
      <c r="B236" s="2">
        <f t="shared" si="12"/>
        <v>0</v>
      </c>
      <c r="C236" s="2">
        <f t="shared" si="14"/>
        <v>0</v>
      </c>
      <c r="D236" s="2">
        <f t="shared" si="15"/>
        <v>17.134999999999994</v>
      </c>
    </row>
    <row r="237" spans="1:4" x14ac:dyDescent="0.25">
      <c r="A237">
        <f t="shared" si="13"/>
        <v>4.3399999999999954</v>
      </c>
      <c r="B237" s="2">
        <f t="shared" si="12"/>
        <v>0</v>
      </c>
      <c r="C237" s="2">
        <f t="shared" si="14"/>
        <v>0</v>
      </c>
      <c r="D237" s="2">
        <f t="shared" si="15"/>
        <v>17.134999999999994</v>
      </c>
    </row>
    <row r="238" spans="1:4" x14ac:dyDescent="0.25">
      <c r="A238">
        <f t="shared" si="13"/>
        <v>4.359999999999995</v>
      </c>
      <c r="B238" s="2">
        <f t="shared" si="12"/>
        <v>0</v>
      </c>
      <c r="C238" s="2">
        <f t="shared" si="14"/>
        <v>0</v>
      </c>
      <c r="D238" s="2">
        <f t="shared" si="15"/>
        <v>17.134999999999994</v>
      </c>
    </row>
    <row r="239" spans="1:4" x14ac:dyDescent="0.25">
      <c r="A239">
        <f t="shared" si="13"/>
        <v>4.3799999999999946</v>
      </c>
      <c r="B239" s="2">
        <f t="shared" si="12"/>
        <v>0</v>
      </c>
      <c r="C239" s="2">
        <f t="shared" si="14"/>
        <v>0</v>
      </c>
      <c r="D239" s="2">
        <f t="shared" si="15"/>
        <v>17.134999999999994</v>
      </c>
    </row>
    <row r="240" spans="1:4" x14ac:dyDescent="0.25">
      <c r="A240">
        <f t="shared" si="13"/>
        <v>4.3999999999999941</v>
      </c>
      <c r="B240" s="2">
        <f t="shared" si="12"/>
        <v>0</v>
      </c>
      <c r="C240" s="2">
        <f t="shared" si="14"/>
        <v>0</v>
      </c>
      <c r="D240" s="2">
        <f t="shared" si="15"/>
        <v>17.134999999999994</v>
      </c>
    </row>
    <row r="241" spans="1:4" x14ac:dyDescent="0.25">
      <c r="A241">
        <f t="shared" si="13"/>
        <v>4.4199999999999937</v>
      </c>
      <c r="B241" s="2">
        <f t="shared" si="12"/>
        <v>0</v>
      </c>
      <c r="C241" s="2">
        <f t="shared" si="14"/>
        <v>0</v>
      </c>
      <c r="D241" s="2">
        <f t="shared" si="15"/>
        <v>17.134999999999994</v>
      </c>
    </row>
    <row r="242" spans="1:4" x14ac:dyDescent="0.25">
      <c r="A242">
        <f t="shared" si="13"/>
        <v>4.4399999999999933</v>
      </c>
      <c r="B242" s="2">
        <f t="shared" si="12"/>
        <v>0</v>
      </c>
      <c r="C242" s="2">
        <f t="shared" si="14"/>
        <v>0</v>
      </c>
      <c r="D242" s="2">
        <f t="shared" si="15"/>
        <v>17.134999999999994</v>
      </c>
    </row>
    <row r="243" spans="1:4" x14ac:dyDescent="0.25">
      <c r="A243">
        <f t="shared" si="13"/>
        <v>4.4599999999999929</v>
      </c>
      <c r="B243" s="2">
        <f t="shared" si="12"/>
        <v>0</v>
      </c>
      <c r="C243" s="2">
        <f t="shared" si="14"/>
        <v>0</v>
      </c>
      <c r="D243" s="2">
        <f t="shared" si="15"/>
        <v>17.134999999999994</v>
      </c>
    </row>
    <row r="244" spans="1:4" x14ac:dyDescent="0.25">
      <c r="A244">
        <f t="shared" si="13"/>
        <v>4.4799999999999924</v>
      </c>
      <c r="B244" s="2">
        <f t="shared" si="12"/>
        <v>0</v>
      </c>
      <c r="C244" s="2">
        <f t="shared" si="14"/>
        <v>0</v>
      </c>
      <c r="D244" s="2">
        <f t="shared" si="15"/>
        <v>17.134999999999994</v>
      </c>
    </row>
    <row r="245" spans="1:4" x14ac:dyDescent="0.25">
      <c r="A245">
        <f t="shared" si="13"/>
        <v>4.499999999999992</v>
      </c>
      <c r="B245" s="2">
        <f t="shared" si="12"/>
        <v>0</v>
      </c>
      <c r="C245" s="2">
        <f t="shared" si="14"/>
        <v>0</v>
      </c>
      <c r="D245" s="2">
        <f t="shared" si="15"/>
        <v>17.134999999999994</v>
      </c>
    </row>
    <row r="246" spans="1:4" x14ac:dyDescent="0.25">
      <c r="A246">
        <f t="shared" si="13"/>
        <v>4.5199999999999916</v>
      </c>
      <c r="B246" s="2">
        <f t="shared" si="12"/>
        <v>0</v>
      </c>
      <c r="C246" s="2">
        <f t="shared" si="14"/>
        <v>0</v>
      </c>
      <c r="D246" s="2">
        <f t="shared" si="15"/>
        <v>17.134999999999994</v>
      </c>
    </row>
    <row r="247" spans="1:4" x14ac:dyDescent="0.25">
      <c r="A247">
        <f t="shared" si="13"/>
        <v>4.5399999999999912</v>
      </c>
      <c r="B247" s="2">
        <f t="shared" si="12"/>
        <v>0</v>
      </c>
      <c r="C247" s="2">
        <f t="shared" si="14"/>
        <v>0</v>
      </c>
      <c r="D247" s="2">
        <f t="shared" si="15"/>
        <v>17.134999999999994</v>
      </c>
    </row>
    <row r="248" spans="1:4" x14ac:dyDescent="0.25">
      <c r="A248">
        <f t="shared" si="13"/>
        <v>4.5599999999999907</v>
      </c>
      <c r="B248" s="2">
        <f t="shared" si="12"/>
        <v>0</v>
      </c>
      <c r="C248" s="2">
        <f t="shared" si="14"/>
        <v>0</v>
      </c>
      <c r="D248" s="2">
        <f t="shared" si="15"/>
        <v>17.134999999999994</v>
      </c>
    </row>
    <row r="249" spans="1:4" x14ac:dyDescent="0.25">
      <c r="A249">
        <f t="shared" si="13"/>
        <v>4.5799999999999903</v>
      </c>
      <c r="B249" s="2">
        <f t="shared" si="12"/>
        <v>0</v>
      </c>
      <c r="C249" s="2">
        <f t="shared" si="14"/>
        <v>0</v>
      </c>
      <c r="D249" s="2">
        <f t="shared" si="15"/>
        <v>17.134999999999994</v>
      </c>
    </row>
    <row r="250" spans="1:4" x14ac:dyDescent="0.25">
      <c r="A250">
        <f t="shared" si="13"/>
        <v>4.5999999999999899</v>
      </c>
      <c r="B250" s="2">
        <f t="shared" si="12"/>
        <v>0</v>
      </c>
      <c r="C250" s="2">
        <f t="shared" si="14"/>
        <v>0</v>
      </c>
      <c r="D250" s="2">
        <f t="shared" si="15"/>
        <v>17.134999999999994</v>
      </c>
    </row>
    <row r="251" spans="1:4" x14ac:dyDescent="0.25">
      <c r="A251">
        <f t="shared" si="13"/>
        <v>4.6199999999999894</v>
      </c>
      <c r="B251" s="2">
        <f t="shared" si="12"/>
        <v>0</v>
      </c>
      <c r="C251" s="2">
        <f t="shared" si="14"/>
        <v>0</v>
      </c>
      <c r="D251" s="2">
        <f t="shared" si="15"/>
        <v>17.134999999999994</v>
      </c>
    </row>
    <row r="252" spans="1:4" x14ac:dyDescent="0.25">
      <c r="A252">
        <f t="shared" si="13"/>
        <v>4.639999999999989</v>
      </c>
      <c r="B252" s="2">
        <f t="shared" si="12"/>
        <v>0</v>
      </c>
      <c r="C252" s="2">
        <f t="shared" si="14"/>
        <v>0</v>
      </c>
      <c r="D252" s="2">
        <f t="shared" si="15"/>
        <v>17.134999999999994</v>
      </c>
    </row>
    <row r="253" spans="1:4" x14ac:dyDescent="0.25">
      <c r="A253">
        <f t="shared" si="13"/>
        <v>4.6599999999999886</v>
      </c>
      <c r="B253" s="2">
        <f t="shared" si="12"/>
        <v>0</v>
      </c>
      <c r="C253" s="2">
        <f t="shared" si="14"/>
        <v>0</v>
      </c>
      <c r="D253" s="2">
        <f t="shared" si="15"/>
        <v>17.134999999999994</v>
      </c>
    </row>
    <row r="254" spans="1:4" x14ac:dyDescent="0.25">
      <c r="A254">
        <f t="shared" si="13"/>
        <v>4.6799999999999882</v>
      </c>
      <c r="B254" s="2">
        <f t="shared" si="12"/>
        <v>0</v>
      </c>
      <c r="C254" s="2">
        <f t="shared" si="14"/>
        <v>0</v>
      </c>
      <c r="D254" s="2">
        <f t="shared" si="15"/>
        <v>17.134999999999994</v>
      </c>
    </row>
    <row r="255" spans="1:4" x14ac:dyDescent="0.25">
      <c r="A255">
        <f t="shared" si="13"/>
        <v>4.6999999999999877</v>
      </c>
      <c r="B255" s="2">
        <f t="shared" si="12"/>
        <v>0</v>
      </c>
      <c r="C255" s="2">
        <f t="shared" si="14"/>
        <v>0</v>
      </c>
      <c r="D255" s="2">
        <f t="shared" si="15"/>
        <v>17.134999999999994</v>
      </c>
    </row>
    <row r="256" spans="1:4" x14ac:dyDescent="0.25">
      <c r="A256">
        <f t="shared" si="13"/>
        <v>4.7199999999999873</v>
      </c>
      <c r="B256" s="2">
        <f t="shared" si="12"/>
        <v>0</v>
      </c>
      <c r="C256" s="2">
        <f t="shared" si="14"/>
        <v>0</v>
      </c>
      <c r="D256" s="2">
        <f t="shared" si="15"/>
        <v>17.134999999999994</v>
      </c>
    </row>
    <row r="257" spans="1:4" x14ac:dyDescent="0.25">
      <c r="A257">
        <f t="shared" si="13"/>
        <v>4.7399999999999869</v>
      </c>
      <c r="B257" s="2">
        <f t="shared" si="12"/>
        <v>0</v>
      </c>
      <c r="C257" s="2">
        <f t="shared" si="14"/>
        <v>0</v>
      </c>
      <c r="D257" s="2">
        <f t="shared" si="15"/>
        <v>17.134999999999994</v>
      </c>
    </row>
    <row r="258" spans="1:4" x14ac:dyDescent="0.25">
      <c r="A258">
        <f t="shared" si="13"/>
        <v>4.7599999999999865</v>
      </c>
      <c r="B258" s="2">
        <f t="shared" si="12"/>
        <v>0</v>
      </c>
      <c r="C258" s="2">
        <f t="shared" si="14"/>
        <v>0</v>
      </c>
      <c r="D258" s="2">
        <f t="shared" si="15"/>
        <v>17.134999999999994</v>
      </c>
    </row>
    <row r="259" spans="1:4" x14ac:dyDescent="0.25">
      <c r="A259">
        <f t="shared" si="13"/>
        <v>4.779999999999986</v>
      </c>
      <c r="B259" s="2">
        <f t="shared" si="12"/>
        <v>0</v>
      </c>
      <c r="C259" s="2">
        <f t="shared" si="14"/>
        <v>0</v>
      </c>
      <c r="D259" s="2">
        <f t="shared" si="15"/>
        <v>17.134999999999994</v>
      </c>
    </row>
    <row r="260" spans="1:4" x14ac:dyDescent="0.25">
      <c r="A260">
        <f t="shared" si="13"/>
        <v>4.7999999999999856</v>
      </c>
      <c r="B260" s="2">
        <f t="shared" si="12"/>
        <v>0</v>
      </c>
      <c r="C260" s="2">
        <f t="shared" si="14"/>
        <v>0</v>
      </c>
      <c r="D260" s="2">
        <f t="shared" si="15"/>
        <v>17.134999999999994</v>
      </c>
    </row>
    <row r="261" spans="1:4" x14ac:dyDescent="0.25">
      <c r="A261">
        <f t="shared" si="13"/>
        <v>4.8199999999999852</v>
      </c>
      <c r="B261" s="2">
        <f t="shared" si="12"/>
        <v>0</v>
      </c>
      <c r="C261" s="2">
        <f t="shared" si="14"/>
        <v>0</v>
      </c>
      <c r="D261" s="2">
        <f t="shared" si="15"/>
        <v>17.134999999999994</v>
      </c>
    </row>
    <row r="262" spans="1:4" x14ac:dyDescent="0.25">
      <c r="A262">
        <f t="shared" si="13"/>
        <v>4.8399999999999848</v>
      </c>
      <c r="B262" s="2">
        <f t="shared" si="12"/>
        <v>0</v>
      </c>
      <c r="C262" s="2">
        <f t="shared" si="14"/>
        <v>0</v>
      </c>
      <c r="D262" s="2">
        <f t="shared" si="15"/>
        <v>17.134999999999994</v>
      </c>
    </row>
    <row r="263" spans="1:4" x14ac:dyDescent="0.25">
      <c r="A263">
        <f t="shared" si="13"/>
        <v>4.8599999999999843</v>
      </c>
      <c r="B263" s="2">
        <f t="shared" si="12"/>
        <v>0</v>
      </c>
      <c r="C263" s="2">
        <f t="shared" si="14"/>
        <v>0</v>
      </c>
      <c r="D263" s="2">
        <f t="shared" si="15"/>
        <v>17.134999999999994</v>
      </c>
    </row>
    <row r="264" spans="1:4" x14ac:dyDescent="0.25">
      <c r="A264">
        <f t="shared" si="13"/>
        <v>4.8799999999999839</v>
      </c>
      <c r="B264" s="2">
        <f t="shared" si="12"/>
        <v>0</v>
      </c>
      <c r="C264" s="2">
        <f t="shared" si="14"/>
        <v>0</v>
      </c>
      <c r="D264" s="2">
        <f t="shared" si="15"/>
        <v>17.134999999999994</v>
      </c>
    </row>
    <row r="265" spans="1:4" x14ac:dyDescent="0.25">
      <c r="A265">
        <f t="shared" si="13"/>
        <v>4.8999999999999835</v>
      </c>
      <c r="B265" s="2">
        <f t="shared" si="12"/>
        <v>0</v>
      </c>
      <c r="C265" s="2">
        <f t="shared" si="14"/>
        <v>0</v>
      </c>
      <c r="D265" s="2">
        <f t="shared" si="15"/>
        <v>17.134999999999994</v>
      </c>
    </row>
    <row r="266" spans="1:4" x14ac:dyDescent="0.25">
      <c r="A266">
        <f t="shared" si="13"/>
        <v>4.9199999999999831</v>
      </c>
      <c r="B266" s="2">
        <f t="shared" si="12"/>
        <v>0</v>
      </c>
      <c r="C266" s="2">
        <f t="shared" si="14"/>
        <v>0</v>
      </c>
      <c r="D266" s="2">
        <f t="shared" si="15"/>
        <v>17.134999999999994</v>
      </c>
    </row>
    <row r="267" spans="1:4" x14ac:dyDescent="0.25">
      <c r="A267">
        <f t="shared" si="13"/>
        <v>4.9399999999999826</v>
      </c>
      <c r="B267" s="2">
        <f t="shared" si="12"/>
        <v>0</v>
      </c>
      <c r="C267" s="2">
        <f t="shared" si="14"/>
        <v>0</v>
      </c>
      <c r="D267" s="2">
        <f t="shared" si="15"/>
        <v>17.134999999999994</v>
      </c>
    </row>
    <row r="268" spans="1:4" x14ac:dyDescent="0.25">
      <c r="A268">
        <f t="shared" si="13"/>
        <v>4.9599999999999822</v>
      </c>
      <c r="B268" s="2">
        <f t="shared" si="12"/>
        <v>0</v>
      </c>
      <c r="C268" s="2">
        <f t="shared" si="14"/>
        <v>0</v>
      </c>
      <c r="D268" s="2">
        <f t="shared" si="15"/>
        <v>17.134999999999994</v>
      </c>
    </row>
    <row r="269" spans="1:4" x14ac:dyDescent="0.25">
      <c r="A269">
        <f t="shared" si="13"/>
        <v>4.9799999999999818</v>
      </c>
      <c r="B269" s="2">
        <f t="shared" si="12"/>
        <v>0</v>
      </c>
      <c r="C269" s="2">
        <f t="shared" si="14"/>
        <v>0</v>
      </c>
      <c r="D269" s="2">
        <f t="shared" si="15"/>
        <v>17.134999999999994</v>
      </c>
    </row>
    <row r="270" spans="1:4" x14ac:dyDescent="0.25">
      <c r="A270">
        <f t="shared" si="13"/>
        <v>4.9999999999999813</v>
      </c>
      <c r="B270" s="2">
        <f t="shared" si="12"/>
        <v>0</v>
      </c>
      <c r="C270" s="2">
        <f t="shared" si="14"/>
        <v>0</v>
      </c>
      <c r="D270" s="2">
        <f t="shared" si="15"/>
        <v>17.134999999999994</v>
      </c>
    </row>
    <row r="271" spans="1:4" x14ac:dyDescent="0.25">
      <c r="A271">
        <f t="shared" si="13"/>
        <v>5.0199999999999809</v>
      </c>
      <c r="B271" s="2">
        <f t="shared" si="12"/>
        <v>0</v>
      </c>
      <c r="C271" s="2">
        <f t="shared" si="14"/>
        <v>0</v>
      </c>
      <c r="D271" s="2">
        <f t="shared" si="15"/>
        <v>17.134999999999994</v>
      </c>
    </row>
    <row r="272" spans="1:4" x14ac:dyDescent="0.25">
      <c r="A272">
        <f t="shared" si="13"/>
        <v>5.0399999999999805</v>
      </c>
      <c r="B272" s="2">
        <f t="shared" si="12"/>
        <v>0</v>
      </c>
      <c r="C272" s="2">
        <f t="shared" si="14"/>
        <v>0</v>
      </c>
      <c r="D272" s="2">
        <f t="shared" si="15"/>
        <v>17.134999999999994</v>
      </c>
    </row>
    <row r="273" spans="1:4" x14ac:dyDescent="0.25">
      <c r="A273">
        <f t="shared" si="13"/>
        <v>5.0599999999999801</v>
      </c>
      <c r="B273" s="2">
        <f t="shared" si="12"/>
        <v>0</v>
      </c>
      <c r="C273" s="2">
        <f t="shared" si="14"/>
        <v>0</v>
      </c>
      <c r="D273" s="2">
        <f t="shared" si="15"/>
        <v>17.134999999999994</v>
      </c>
    </row>
    <row r="274" spans="1:4" x14ac:dyDescent="0.25">
      <c r="A274">
        <f t="shared" si="13"/>
        <v>5.0799999999999796</v>
      </c>
      <c r="B274" s="2">
        <f t="shared" si="12"/>
        <v>0</v>
      </c>
      <c r="C274" s="2">
        <f t="shared" si="14"/>
        <v>0</v>
      </c>
      <c r="D274" s="2">
        <f t="shared" si="15"/>
        <v>17.134999999999994</v>
      </c>
    </row>
    <row r="275" spans="1:4" x14ac:dyDescent="0.25">
      <c r="A275">
        <f t="shared" si="13"/>
        <v>5.0999999999999792</v>
      </c>
      <c r="B275" s="2">
        <f t="shared" si="12"/>
        <v>0</v>
      </c>
      <c r="C275" s="2">
        <f t="shared" si="14"/>
        <v>0</v>
      </c>
      <c r="D275" s="2">
        <f t="shared" si="15"/>
        <v>17.134999999999994</v>
      </c>
    </row>
    <row r="276" spans="1:4" x14ac:dyDescent="0.25">
      <c r="A276">
        <f t="shared" si="13"/>
        <v>5.1199999999999788</v>
      </c>
      <c r="B276" s="2">
        <f t="shared" si="12"/>
        <v>0</v>
      </c>
      <c r="C276" s="2">
        <f t="shared" si="14"/>
        <v>0</v>
      </c>
      <c r="D276" s="2">
        <f t="shared" si="15"/>
        <v>17.134999999999994</v>
      </c>
    </row>
    <row r="277" spans="1:4" x14ac:dyDescent="0.25">
      <c r="A277">
        <f t="shared" si="13"/>
        <v>5.1399999999999784</v>
      </c>
      <c r="B277" s="2">
        <f t="shared" ref="B277:B340" si="16">MAX(0,IF(A277&lt;$B$14,B276+$B$8,IF(AND(A277&gt;=$B$14,A277&lt;=$B$15),$B$11/$B$2,B276-$B$8)))</f>
        <v>0</v>
      </c>
      <c r="C277" s="2">
        <f t="shared" si="14"/>
        <v>0</v>
      </c>
      <c r="D277" s="2">
        <f t="shared" si="15"/>
        <v>17.134999999999994</v>
      </c>
    </row>
    <row r="278" spans="1:4" x14ac:dyDescent="0.25">
      <c r="A278">
        <f t="shared" ref="A278:A341" si="17">A277+$B$1</f>
        <v>5.1599999999999779</v>
      </c>
      <c r="B278" s="2">
        <f t="shared" si="16"/>
        <v>0</v>
      </c>
      <c r="C278" s="2">
        <f t="shared" ref="C278:C341" si="18">B278*$B$2</f>
        <v>0</v>
      </c>
      <c r="D278" s="2">
        <f t="shared" ref="D278:D341" si="19">D277+C277*$B$1</f>
        <v>17.134999999999994</v>
      </c>
    </row>
    <row r="279" spans="1:4" x14ac:dyDescent="0.25">
      <c r="A279">
        <f t="shared" si="17"/>
        <v>5.1799999999999775</v>
      </c>
      <c r="B279" s="2">
        <f t="shared" si="16"/>
        <v>0</v>
      </c>
      <c r="C279" s="2">
        <f t="shared" si="18"/>
        <v>0</v>
      </c>
      <c r="D279" s="2">
        <f t="shared" si="19"/>
        <v>17.134999999999994</v>
      </c>
    </row>
    <row r="280" spans="1:4" x14ac:dyDescent="0.25">
      <c r="A280">
        <f t="shared" si="17"/>
        <v>5.1999999999999771</v>
      </c>
      <c r="B280" s="2">
        <f t="shared" si="16"/>
        <v>0</v>
      </c>
      <c r="C280" s="2">
        <f t="shared" si="18"/>
        <v>0</v>
      </c>
      <c r="D280" s="2">
        <f t="shared" si="19"/>
        <v>17.134999999999994</v>
      </c>
    </row>
    <row r="281" spans="1:4" x14ac:dyDescent="0.25">
      <c r="A281">
        <f t="shared" si="17"/>
        <v>5.2199999999999767</v>
      </c>
      <c r="B281" s="2">
        <f t="shared" si="16"/>
        <v>0</v>
      </c>
      <c r="C281" s="2">
        <f t="shared" si="18"/>
        <v>0</v>
      </c>
      <c r="D281" s="2">
        <f t="shared" si="19"/>
        <v>17.134999999999994</v>
      </c>
    </row>
    <row r="282" spans="1:4" x14ac:dyDescent="0.25">
      <c r="A282">
        <f t="shared" si="17"/>
        <v>5.2399999999999762</v>
      </c>
      <c r="B282" s="2">
        <f t="shared" si="16"/>
        <v>0</v>
      </c>
      <c r="C282" s="2">
        <f t="shared" si="18"/>
        <v>0</v>
      </c>
      <c r="D282" s="2">
        <f t="shared" si="19"/>
        <v>17.134999999999994</v>
      </c>
    </row>
    <row r="283" spans="1:4" x14ac:dyDescent="0.25">
      <c r="A283">
        <f t="shared" si="17"/>
        <v>5.2599999999999758</v>
      </c>
      <c r="B283" s="2">
        <f t="shared" si="16"/>
        <v>0</v>
      </c>
      <c r="C283" s="2">
        <f t="shared" si="18"/>
        <v>0</v>
      </c>
      <c r="D283" s="2">
        <f t="shared" si="19"/>
        <v>17.134999999999994</v>
      </c>
    </row>
    <row r="284" spans="1:4" x14ac:dyDescent="0.25">
      <c r="A284">
        <f t="shared" si="17"/>
        <v>5.2799999999999754</v>
      </c>
      <c r="B284" s="2">
        <f t="shared" si="16"/>
        <v>0</v>
      </c>
      <c r="C284" s="2">
        <f t="shared" si="18"/>
        <v>0</v>
      </c>
      <c r="D284" s="2">
        <f t="shared" si="19"/>
        <v>17.134999999999994</v>
      </c>
    </row>
    <row r="285" spans="1:4" x14ac:dyDescent="0.25">
      <c r="A285">
        <f t="shared" si="17"/>
        <v>5.299999999999975</v>
      </c>
      <c r="B285" s="2">
        <f t="shared" si="16"/>
        <v>0</v>
      </c>
      <c r="C285" s="2">
        <f t="shared" si="18"/>
        <v>0</v>
      </c>
      <c r="D285" s="2">
        <f t="shared" si="19"/>
        <v>17.134999999999994</v>
      </c>
    </row>
    <row r="286" spans="1:4" x14ac:dyDescent="0.25">
      <c r="A286">
        <f t="shared" si="17"/>
        <v>5.3199999999999745</v>
      </c>
      <c r="B286" s="2">
        <f t="shared" si="16"/>
        <v>0</v>
      </c>
      <c r="C286" s="2">
        <f t="shared" si="18"/>
        <v>0</v>
      </c>
      <c r="D286" s="2">
        <f t="shared" si="19"/>
        <v>17.134999999999994</v>
      </c>
    </row>
    <row r="287" spans="1:4" x14ac:dyDescent="0.25">
      <c r="A287">
        <f t="shared" si="17"/>
        <v>5.3399999999999741</v>
      </c>
      <c r="B287" s="2">
        <f t="shared" si="16"/>
        <v>0</v>
      </c>
      <c r="C287" s="2">
        <f t="shared" si="18"/>
        <v>0</v>
      </c>
      <c r="D287" s="2">
        <f t="shared" si="19"/>
        <v>17.134999999999994</v>
      </c>
    </row>
    <row r="288" spans="1:4" x14ac:dyDescent="0.25">
      <c r="A288">
        <f t="shared" si="17"/>
        <v>5.3599999999999737</v>
      </c>
      <c r="B288" s="2">
        <f t="shared" si="16"/>
        <v>0</v>
      </c>
      <c r="C288" s="2">
        <f t="shared" si="18"/>
        <v>0</v>
      </c>
      <c r="D288" s="2">
        <f t="shared" si="19"/>
        <v>17.134999999999994</v>
      </c>
    </row>
    <row r="289" spans="1:4" x14ac:dyDescent="0.25">
      <c r="A289">
        <f t="shared" si="17"/>
        <v>5.3799999999999732</v>
      </c>
      <c r="B289" s="2">
        <f t="shared" si="16"/>
        <v>0</v>
      </c>
      <c r="C289" s="2">
        <f t="shared" si="18"/>
        <v>0</v>
      </c>
      <c r="D289" s="2">
        <f t="shared" si="19"/>
        <v>17.134999999999994</v>
      </c>
    </row>
    <row r="290" spans="1:4" x14ac:dyDescent="0.25">
      <c r="A290">
        <f t="shared" si="17"/>
        <v>5.3999999999999728</v>
      </c>
      <c r="B290" s="2">
        <f t="shared" si="16"/>
        <v>0</v>
      </c>
      <c r="C290" s="2">
        <f t="shared" si="18"/>
        <v>0</v>
      </c>
      <c r="D290" s="2">
        <f t="shared" si="19"/>
        <v>17.134999999999994</v>
      </c>
    </row>
    <row r="291" spans="1:4" x14ac:dyDescent="0.25">
      <c r="A291">
        <f t="shared" si="17"/>
        <v>5.4199999999999724</v>
      </c>
      <c r="B291" s="2">
        <f t="shared" si="16"/>
        <v>0</v>
      </c>
      <c r="C291" s="2">
        <f t="shared" si="18"/>
        <v>0</v>
      </c>
      <c r="D291" s="2">
        <f t="shared" si="19"/>
        <v>17.134999999999994</v>
      </c>
    </row>
    <row r="292" spans="1:4" x14ac:dyDescent="0.25">
      <c r="A292">
        <f t="shared" si="17"/>
        <v>5.439999999999972</v>
      </c>
      <c r="B292" s="2">
        <f t="shared" si="16"/>
        <v>0</v>
      </c>
      <c r="C292" s="2">
        <f t="shared" si="18"/>
        <v>0</v>
      </c>
      <c r="D292" s="2">
        <f t="shared" si="19"/>
        <v>17.134999999999994</v>
      </c>
    </row>
    <row r="293" spans="1:4" x14ac:dyDescent="0.25">
      <c r="A293">
        <f t="shared" si="17"/>
        <v>5.4599999999999715</v>
      </c>
      <c r="B293" s="2">
        <f t="shared" si="16"/>
        <v>0</v>
      </c>
      <c r="C293" s="2">
        <f t="shared" si="18"/>
        <v>0</v>
      </c>
      <c r="D293" s="2">
        <f t="shared" si="19"/>
        <v>17.134999999999994</v>
      </c>
    </row>
    <row r="294" spans="1:4" x14ac:dyDescent="0.25">
      <c r="A294">
        <f t="shared" si="17"/>
        <v>5.4799999999999711</v>
      </c>
      <c r="B294" s="2">
        <f t="shared" si="16"/>
        <v>0</v>
      </c>
      <c r="C294" s="2">
        <f t="shared" si="18"/>
        <v>0</v>
      </c>
      <c r="D294" s="2">
        <f t="shared" si="19"/>
        <v>17.134999999999994</v>
      </c>
    </row>
    <row r="295" spans="1:4" x14ac:dyDescent="0.25">
      <c r="A295">
        <f t="shared" si="17"/>
        <v>5.4999999999999707</v>
      </c>
      <c r="B295" s="2">
        <f t="shared" si="16"/>
        <v>0</v>
      </c>
      <c r="C295" s="2">
        <f t="shared" si="18"/>
        <v>0</v>
      </c>
      <c r="D295" s="2">
        <f t="shared" si="19"/>
        <v>17.134999999999994</v>
      </c>
    </row>
    <row r="296" spans="1:4" x14ac:dyDescent="0.25">
      <c r="A296">
        <f t="shared" si="17"/>
        <v>5.5199999999999703</v>
      </c>
      <c r="B296" s="2">
        <f t="shared" si="16"/>
        <v>0</v>
      </c>
      <c r="C296" s="2">
        <f t="shared" si="18"/>
        <v>0</v>
      </c>
      <c r="D296" s="2">
        <f t="shared" si="19"/>
        <v>17.134999999999994</v>
      </c>
    </row>
    <row r="297" spans="1:4" x14ac:dyDescent="0.25">
      <c r="A297">
        <f t="shared" si="17"/>
        <v>5.5399999999999698</v>
      </c>
      <c r="B297" s="2">
        <f t="shared" si="16"/>
        <v>0</v>
      </c>
      <c r="C297" s="2">
        <f t="shared" si="18"/>
        <v>0</v>
      </c>
      <c r="D297" s="2">
        <f t="shared" si="19"/>
        <v>17.134999999999994</v>
      </c>
    </row>
    <row r="298" spans="1:4" x14ac:dyDescent="0.25">
      <c r="A298">
        <f t="shared" si="17"/>
        <v>5.5599999999999694</v>
      </c>
      <c r="B298" s="2">
        <f t="shared" si="16"/>
        <v>0</v>
      </c>
      <c r="C298" s="2">
        <f t="shared" si="18"/>
        <v>0</v>
      </c>
      <c r="D298" s="2">
        <f t="shared" si="19"/>
        <v>17.134999999999994</v>
      </c>
    </row>
    <row r="299" spans="1:4" x14ac:dyDescent="0.25">
      <c r="A299">
        <f t="shared" si="17"/>
        <v>5.579999999999969</v>
      </c>
      <c r="B299" s="2">
        <f t="shared" si="16"/>
        <v>0</v>
      </c>
      <c r="C299" s="2">
        <f t="shared" si="18"/>
        <v>0</v>
      </c>
      <c r="D299" s="2">
        <f t="shared" si="19"/>
        <v>17.134999999999994</v>
      </c>
    </row>
    <row r="300" spans="1:4" x14ac:dyDescent="0.25">
      <c r="A300">
        <f t="shared" si="17"/>
        <v>5.5999999999999686</v>
      </c>
      <c r="B300" s="2">
        <f t="shared" si="16"/>
        <v>0</v>
      </c>
      <c r="C300" s="2">
        <f t="shared" si="18"/>
        <v>0</v>
      </c>
      <c r="D300" s="2">
        <f t="shared" si="19"/>
        <v>17.134999999999994</v>
      </c>
    </row>
    <row r="301" spans="1:4" x14ac:dyDescent="0.25">
      <c r="A301">
        <f t="shared" si="17"/>
        <v>5.6199999999999681</v>
      </c>
      <c r="B301" s="2">
        <f t="shared" si="16"/>
        <v>0</v>
      </c>
      <c r="C301" s="2">
        <f t="shared" si="18"/>
        <v>0</v>
      </c>
      <c r="D301" s="2">
        <f t="shared" si="19"/>
        <v>17.134999999999994</v>
      </c>
    </row>
    <row r="302" spans="1:4" x14ac:dyDescent="0.25">
      <c r="A302">
        <f t="shared" si="17"/>
        <v>5.6399999999999677</v>
      </c>
      <c r="B302" s="2">
        <f t="shared" si="16"/>
        <v>0</v>
      </c>
      <c r="C302" s="2">
        <f t="shared" si="18"/>
        <v>0</v>
      </c>
      <c r="D302" s="2">
        <f t="shared" si="19"/>
        <v>17.134999999999994</v>
      </c>
    </row>
    <row r="303" spans="1:4" x14ac:dyDescent="0.25">
      <c r="A303">
        <f t="shared" si="17"/>
        <v>5.6599999999999673</v>
      </c>
      <c r="B303" s="2">
        <f t="shared" si="16"/>
        <v>0</v>
      </c>
      <c r="C303" s="2">
        <f t="shared" si="18"/>
        <v>0</v>
      </c>
      <c r="D303" s="2">
        <f t="shared" si="19"/>
        <v>17.134999999999994</v>
      </c>
    </row>
    <row r="304" spans="1:4" x14ac:dyDescent="0.25">
      <c r="A304">
        <f t="shared" si="17"/>
        <v>5.6799999999999669</v>
      </c>
      <c r="B304" s="2">
        <f t="shared" si="16"/>
        <v>0</v>
      </c>
      <c r="C304" s="2">
        <f t="shared" si="18"/>
        <v>0</v>
      </c>
      <c r="D304" s="2">
        <f t="shared" si="19"/>
        <v>17.134999999999994</v>
      </c>
    </row>
    <row r="305" spans="1:4" x14ac:dyDescent="0.25">
      <c r="A305">
        <f t="shared" si="17"/>
        <v>5.6999999999999664</v>
      </c>
      <c r="B305" s="2">
        <f t="shared" si="16"/>
        <v>0</v>
      </c>
      <c r="C305" s="2">
        <f t="shared" si="18"/>
        <v>0</v>
      </c>
      <c r="D305" s="2">
        <f t="shared" si="19"/>
        <v>17.134999999999994</v>
      </c>
    </row>
    <row r="306" spans="1:4" x14ac:dyDescent="0.25">
      <c r="A306">
        <f t="shared" si="17"/>
        <v>5.719999999999966</v>
      </c>
      <c r="B306" s="2">
        <f t="shared" si="16"/>
        <v>0</v>
      </c>
      <c r="C306" s="2">
        <f t="shared" si="18"/>
        <v>0</v>
      </c>
      <c r="D306" s="2">
        <f t="shared" si="19"/>
        <v>17.134999999999994</v>
      </c>
    </row>
    <row r="307" spans="1:4" x14ac:dyDescent="0.25">
      <c r="A307">
        <f t="shared" si="17"/>
        <v>5.7399999999999656</v>
      </c>
      <c r="B307" s="2">
        <f t="shared" si="16"/>
        <v>0</v>
      </c>
      <c r="C307" s="2">
        <f t="shared" si="18"/>
        <v>0</v>
      </c>
      <c r="D307" s="2">
        <f t="shared" si="19"/>
        <v>17.134999999999994</v>
      </c>
    </row>
    <row r="308" spans="1:4" x14ac:dyDescent="0.25">
      <c r="A308">
        <f t="shared" si="17"/>
        <v>5.7599999999999651</v>
      </c>
      <c r="B308" s="2">
        <f t="shared" si="16"/>
        <v>0</v>
      </c>
      <c r="C308" s="2">
        <f t="shared" si="18"/>
        <v>0</v>
      </c>
      <c r="D308" s="2">
        <f t="shared" si="19"/>
        <v>17.134999999999994</v>
      </c>
    </row>
    <row r="309" spans="1:4" x14ac:dyDescent="0.25">
      <c r="A309">
        <f t="shared" si="17"/>
        <v>5.7799999999999647</v>
      </c>
      <c r="B309" s="2">
        <f t="shared" si="16"/>
        <v>0</v>
      </c>
      <c r="C309" s="2">
        <f t="shared" si="18"/>
        <v>0</v>
      </c>
      <c r="D309" s="2">
        <f t="shared" si="19"/>
        <v>17.134999999999994</v>
      </c>
    </row>
    <row r="310" spans="1:4" x14ac:dyDescent="0.25">
      <c r="A310">
        <f t="shared" si="17"/>
        <v>5.7999999999999643</v>
      </c>
      <c r="B310" s="2">
        <f t="shared" si="16"/>
        <v>0</v>
      </c>
      <c r="C310" s="2">
        <f t="shared" si="18"/>
        <v>0</v>
      </c>
      <c r="D310" s="2">
        <f t="shared" si="19"/>
        <v>17.134999999999994</v>
      </c>
    </row>
    <row r="311" spans="1:4" x14ac:dyDescent="0.25">
      <c r="A311">
        <f t="shared" si="17"/>
        <v>5.8199999999999639</v>
      </c>
      <c r="B311" s="2">
        <f t="shared" si="16"/>
        <v>0</v>
      </c>
      <c r="C311" s="2">
        <f t="shared" si="18"/>
        <v>0</v>
      </c>
      <c r="D311" s="2">
        <f t="shared" si="19"/>
        <v>17.134999999999994</v>
      </c>
    </row>
    <row r="312" spans="1:4" x14ac:dyDescent="0.25">
      <c r="A312">
        <f t="shared" si="17"/>
        <v>5.8399999999999634</v>
      </c>
      <c r="B312" s="2">
        <f t="shared" si="16"/>
        <v>0</v>
      </c>
      <c r="C312" s="2">
        <f t="shared" si="18"/>
        <v>0</v>
      </c>
      <c r="D312" s="2">
        <f t="shared" si="19"/>
        <v>17.134999999999994</v>
      </c>
    </row>
    <row r="313" spans="1:4" x14ac:dyDescent="0.25">
      <c r="A313">
        <f t="shared" si="17"/>
        <v>5.859999999999963</v>
      </c>
      <c r="B313" s="2">
        <f t="shared" si="16"/>
        <v>0</v>
      </c>
      <c r="C313" s="2">
        <f t="shared" si="18"/>
        <v>0</v>
      </c>
      <c r="D313" s="2">
        <f t="shared" si="19"/>
        <v>17.134999999999994</v>
      </c>
    </row>
    <row r="314" spans="1:4" x14ac:dyDescent="0.25">
      <c r="A314">
        <f t="shared" si="17"/>
        <v>5.8799999999999626</v>
      </c>
      <c r="B314" s="2">
        <f t="shared" si="16"/>
        <v>0</v>
      </c>
      <c r="C314" s="2">
        <f t="shared" si="18"/>
        <v>0</v>
      </c>
      <c r="D314" s="2">
        <f t="shared" si="19"/>
        <v>17.134999999999994</v>
      </c>
    </row>
    <row r="315" spans="1:4" x14ac:dyDescent="0.25">
      <c r="A315">
        <f t="shared" si="17"/>
        <v>5.8999999999999622</v>
      </c>
      <c r="B315" s="2">
        <f t="shared" si="16"/>
        <v>0</v>
      </c>
      <c r="C315" s="2">
        <f t="shared" si="18"/>
        <v>0</v>
      </c>
      <c r="D315" s="2">
        <f t="shared" si="19"/>
        <v>17.134999999999994</v>
      </c>
    </row>
    <row r="316" spans="1:4" x14ac:dyDescent="0.25">
      <c r="A316">
        <f t="shared" si="17"/>
        <v>5.9199999999999617</v>
      </c>
      <c r="B316" s="2">
        <f t="shared" si="16"/>
        <v>0</v>
      </c>
      <c r="C316" s="2">
        <f t="shared" si="18"/>
        <v>0</v>
      </c>
      <c r="D316" s="2">
        <f t="shared" si="19"/>
        <v>17.134999999999994</v>
      </c>
    </row>
    <row r="317" spans="1:4" x14ac:dyDescent="0.25">
      <c r="A317">
        <f t="shared" si="17"/>
        <v>5.9399999999999613</v>
      </c>
      <c r="B317" s="2">
        <f t="shared" si="16"/>
        <v>0</v>
      </c>
      <c r="C317" s="2">
        <f t="shared" si="18"/>
        <v>0</v>
      </c>
      <c r="D317" s="2">
        <f t="shared" si="19"/>
        <v>17.134999999999994</v>
      </c>
    </row>
    <row r="318" spans="1:4" x14ac:dyDescent="0.25">
      <c r="A318">
        <f t="shared" si="17"/>
        <v>5.9599999999999609</v>
      </c>
      <c r="B318" s="2">
        <f t="shared" si="16"/>
        <v>0</v>
      </c>
      <c r="C318" s="2">
        <f t="shared" si="18"/>
        <v>0</v>
      </c>
      <c r="D318" s="2">
        <f t="shared" si="19"/>
        <v>17.134999999999994</v>
      </c>
    </row>
    <row r="319" spans="1:4" x14ac:dyDescent="0.25">
      <c r="A319">
        <f t="shared" si="17"/>
        <v>5.9799999999999605</v>
      </c>
      <c r="B319" s="2">
        <f t="shared" si="16"/>
        <v>0</v>
      </c>
      <c r="C319" s="2">
        <f t="shared" si="18"/>
        <v>0</v>
      </c>
      <c r="D319" s="2">
        <f t="shared" si="19"/>
        <v>17.134999999999994</v>
      </c>
    </row>
    <row r="320" spans="1:4" x14ac:dyDescent="0.25">
      <c r="A320">
        <f t="shared" si="17"/>
        <v>5.99999999999996</v>
      </c>
      <c r="B320" s="2">
        <f t="shared" si="16"/>
        <v>0</v>
      </c>
      <c r="C320" s="2">
        <f t="shared" si="18"/>
        <v>0</v>
      </c>
      <c r="D320" s="2">
        <f t="shared" si="19"/>
        <v>17.134999999999994</v>
      </c>
    </row>
    <row r="321" spans="1:4" x14ac:dyDescent="0.25">
      <c r="A321">
        <f t="shared" si="17"/>
        <v>6.0199999999999596</v>
      </c>
      <c r="B321" s="2">
        <f t="shared" si="16"/>
        <v>0</v>
      </c>
      <c r="C321" s="2">
        <f t="shared" si="18"/>
        <v>0</v>
      </c>
      <c r="D321" s="2">
        <f t="shared" si="19"/>
        <v>17.134999999999994</v>
      </c>
    </row>
    <row r="322" spans="1:4" x14ac:dyDescent="0.25">
      <c r="A322">
        <f t="shared" si="17"/>
        <v>6.0399999999999592</v>
      </c>
      <c r="B322" s="2">
        <f t="shared" si="16"/>
        <v>0</v>
      </c>
      <c r="C322" s="2">
        <f t="shared" si="18"/>
        <v>0</v>
      </c>
      <c r="D322" s="2">
        <f t="shared" si="19"/>
        <v>17.134999999999994</v>
      </c>
    </row>
    <row r="323" spans="1:4" x14ac:dyDescent="0.25">
      <c r="A323">
        <f t="shared" si="17"/>
        <v>6.0599999999999588</v>
      </c>
      <c r="B323" s="2">
        <f t="shared" si="16"/>
        <v>0</v>
      </c>
      <c r="C323" s="2">
        <f t="shared" si="18"/>
        <v>0</v>
      </c>
      <c r="D323" s="2">
        <f t="shared" si="19"/>
        <v>17.134999999999994</v>
      </c>
    </row>
    <row r="324" spans="1:4" x14ac:dyDescent="0.25">
      <c r="A324">
        <f t="shared" si="17"/>
        <v>6.0799999999999583</v>
      </c>
      <c r="B324" s="2">
        <f t="shared" si="16"/>
        <v>0</v>
      </c>
      <c r="C324" s="2">
        <f t="shared" si="18"/>
        <v>0</v>
      </c>
      <c r="D324" s="2">
        <f t="shared" si="19"/>
        <v>17.134999999999994</v>
      </c>
    </row>
    <row r="325" spans="1:4" x14ac:dyDescent="0.25">
      <c r="A325">
        <f t="shared" si="17"/>
        <v>6.0999999999999579</v>
      </c>
      <c r="B325" s="2">
        <f t="shared" si="16"/>
        <v>0</v>
      </c>
      <c r="C325" s="2">
        <f t="shared" si="18"/>
        <v>0</v>
      </c>
      <c r="D325" s="2">
        <f t="shared" si="19"/>
        <v>17.134999999999994</v>
      </c>
    </row>
    <row r="326" spans="1:4" x14ac:dyDescent="0.25">
      <c r="A326">
        <f t="shared" si="17"/>
        <v>6.1199999999999575</v>
      </c>
      <c r="B326" s="2">
        <f t="shared" si="16"/>
        <v>0</v>
      </c>
      <c r="C326" s="2">
        <f t="shared" si="18"/>
        <v>0</v>
      </c>
      <c r="D326" s="2">
        <f t="shared" si="19"/>
        <v>17.134999999999994</v>
      </c>
    </row>
    <row r="327" spans="1:4" x14ac:dyDescent="0.25">
      <c r="A327">
        <f t="shared" si="17"/>
        <v>6.139999999999957</v>
      </c>
      <c r="B327" s="2">
        <f t="shared" si="16"/>
        <v>0</v>
      </c>
      <c r="C327" s="2">
        <f t="shared" si="18"/>
        <v>0</v>
      </c>
      <c r="D327" s="2">
        <f t="shared" si="19"/>
        <v>17.134999999999994</v>
      </c>
    </row>
    <row r="328" spans="1:4" x14ac:dyDescent="0.25">
      <c r="A328">
        <f t="shared" si="17"/>
        <v>6.1599999999999566</v>
      </c>
      <c r="B328" s="2">
        <f t="shared" si="16"/>
        <v>0</v>
      </c>
      <c r="C328" s="2">
        <f t="shared" si="18"/>
        <v>0</v>
      </c>
      <c r="D328" s="2">
        <f t="shared" si="19"/>
        <v>17.134999999999994</v>
      </c>
    </row>
    <row r="329" spans="1:4" x14ac:dyDescent="0.25">
      <c r="A329">
        <f t="shared" si="17"/>
        <v>6.1799999999999562</v>
      </c>
      <c r="B329" s="2">
        <f t="shared" si="16"/>
        <v>0</v>
      </c>
      <c r="C329" s="2">
        <f t="shared" si="18"/>
        <v>0</v>
      </c>
      <c r="D329" s="2">
        <f t="shared" si="19"/>
        <v>17.134999999999994</v>
      </c>
    </row>
    <row r="330" spans="1:4" x14ac:dyDescent="0.25">
      <c r="A330">
        <f t="shared" si="17"/>
        <v>6.1999999999999558</v>
      </c>
      <c r="B330" s="2">
        <f t="shared" si="16"/>
        <v>0</v>
      </c>
      <c r="C330" s="2">
        <f t="shared" si="18"/>
        <v>0</v>
      </c>
      <c r="D330" s="2">
        <f t="shared" si="19"/>
        <v>17.134999999999994</v>
      </c>
    </row>
    <row r="331" spans="1:4" x14ac:dyDescent="0.25">
      <c r="A331">
        <f t="shared" si="17"/>
        <v>6.2199999999999553</v>
      </c>
      <c r="B331" s="2">
        <f t="shared" si="16"/>
        <v>0</v>
      </c>
      <c r="C331" s="2">
        <f t="shared" si="18"/>
        <v>0</v>
      </c>
      <c r="D331" s="2">
        <f t="shared" si="19"/>
        <v>17.134999999999994</v>
      </c>
    </row>
    <row r="332" spans="1:4" x14ac:dyDescent="0.25">
      <c r="A332">
        <f t="shared" si="17"/>
        <v>6.2399999999999549</v>
      </c>
      <c r="B332" s="2">
        <f t="shared" si="16"/>
        <v>0</v>
      </c>
      <c r="C332" s="2">
        <f t="shared" si="18"/>
        <v>0</v>
      </c>
      <c r="D332" s="2">
        <f t="shared" si="19"/>
        <v>17.134999999999994</v>
      </c>
    </row>
    <row r="333" spans="1:4" x14ac:dyDescent="0.25">
      <c r="A333">
        <f t="shared" si="17"/>
        <v>6.2599999999999545</v>
      </c>
      <c r="B333" s="2">
        <f t="shared" si="16"/>
        <v>0</v>
      </c>
      <c r="C333" s="2">
        <f t="shared" si="18"/>
        <v>0</v>
      </c>
      <c r="D333" s="2">
        <f t="shared" si="19"/>
        <v>17.134999999999994</v>
      </c>
    </row>
    <row r="334" spans="1:4" x14ac:dyDescent="0.25">
      <c r="A334">
        <f t="shared" si="17"/>
        <v>6.2799999999999541</v>
      </c>
      <c r="B334" s="2">
        <f t="shared" si="16"/>
        <v>0</v>
      </c>
      <c r="C334" s="2">
        <f t="shared" si="18"/>
        <v>0</v>
      </c>
      <c r="D334" s="2">
        <f t="shared" si="19"/>
        <v>17.134999999999994</v>
      </c>
    </row>
    <row r="335" spans="1:4" x14ac:dyDescent="0.25">
      <c r="A335">
        <f t="shared" si="17"/>
        <v>6.2999999999999536</v>
      </c>
      <c r="B335" s="2">
        <f t="shared" si="16"/>
        <v>0</v>
      </c>
      <c r="C335" s="2">
        <f t="shared" si="18"/>
        <v>0</v>
      </c>
      <c r="D335" s="2">
        <f t="shared" si="19"/>
        <v>17.134999999999994</v>
      </c>
    </row>
    <row r="336" spans="1:4" x14ac:dyDescent="0.25">
      <c r="A336">
        <f t="shared" si="17"/>
        <v>6.3199999999999532</v>
      </c>
      <c r="B336" s="2">
        <f t="shared" si="16"/>
        <v>0</v>
      </c>
      <c r="C336" s="2">
        <f t="shared" si="18"/>
        <v>0</v>
      </c>
      <c r="D336" s="2">
        <f t="shared" si="19"/>
        <v>17.134999999999994</v>
      </c>
    </row>
    <row r="337" spans="1:4" x14ac:dyDescent="0.25">
      <c r="A337">
        <f t="shared" si="17"/>
        <v>6.3399999999999528</v>
      </c>
      <c r="B337" s="2">
        <f t="shared" si="16"/>
        <v>0</v>
      </c>
      <c r="C337" s="2">
        <f t="shared" si="18"/>
        <v>0</v>
      </c>
      <c r="D337" s="2">
        <f t="shared" si="19"/>
        <v>17.134999999999994</v>
      </c>
    </row>
    <row r="338" spans="1:4" x14ac:dyDescent="0.25">
      <c r="A338">
        <f t="shared" si="17"/>
        <v>6.3599999999999524</v>
      </c>
      <c r="B338" s="2">
        <f t="shared" si="16"/>
        <v>0</v>
      </c>
      <c r="C338" s="2">
        <f t="shared" si="18"/>
        <v>0</v>
      </c>
      <c r="D338" s="2">
        <f t="shared" si="19"/>
        <v>17.134999999999994</v>
      </c>
    </row>
    <row r="339" spans="1:4" x14ac:dyDescent="0.25">
      <c r="A339">
        <f t="shared" si="17"/>
        <v>6.3799999999999519</v>
      </c>
      <c r="B339" s="2">
        <f t="shared" si="16"/>
        <v>0</v>
      </c>
      <c r="C339" s="2">
        <f t="shared" si="18"/>
        <v>0</v>
      </c>
      <c r="D339" s="2">
        <f t="shared" si="19"/>
        <v>17.134999999999994</v>
      </c>
    </row>
    <row r="340" spans="1:4" x14ac:dyDescent="0.25">
      <c r="A340">
        <f t="shared" si="17"/>
        <v>6.3999999999999515</v>
      </c>
      <c r="B340" s="2">
        <f t="shared" si="16"/>
        <v>0</v>
      </c>
      <c r="C340" s="2">
        <f t="shared" si="18"/>
        <v>0</v>
      </c>
      <c r="D340" s="2">
        <f t="shared" si="19"/>
        <v>17.134999999999994</v>
      </c>
    </row>
    <row r="341" spans="1:4" x14ac:dyDescent="0.25">
      <c r="A341">
        <f t="shared" si="17"/>
        <v>6.4199999999999511</v>
      </c>
      <c r="B341" s="2">
        <f t="shared" ref="B341:B404" si="20">MAX(0,IF(A341&lt;$B$14,B340+$B$8,IF(AND(A341&gt;=$B$14,A341&lt;=$B$15),$B$11/$B$2,B340-$B$8)))</f>
        <v>0</v>
      </c>
      <c r="C341" s="2">
        <f t="shared" si="18"/>
        <v>0</v>
      </c>
      <c r="D341" s="2">
        <f t="shared" si="19"/>
        <v>17.134999999999994</v>
      </c>
    </row>
    <row r="342" spans="1:4" x14ac:dyDescent="0.25">
      <c r="A342">
        <f t="shared" ref="A342:A405" si="21">A341+$B$1</f>
        <v>6.4399999999999507</v>
      </c>
      <c r="B342" s="2">
        <f t="shared" si="20"/>
        <v>0</v>
      </c>
      <c r="C342" s="2">
        <f t="shared" ref="C342:C405" si="22">B342*$B$2</f>
        <v>0</v>
      </c>
      <c r="D342" s="2">
        <f t="shared" ref="D342:D405" si="23">D341+C341*$B$1</f>
        <v>17.134999999999994</v>
      </c>
    </row>
    <row r="343" spans="1:4" x14ac:dyDescent="0.25">
      <c r="A343">
        <f t="shared" si="21"/>
        <v>6.4599999999999502</v>
      </c>
      <c r="B343" s="2">
        <f t="shared" si="20"/>
        <v>0</v>
      </c>
      <c r="C343" s="2">
        <f t="shared" si="22"/>
        <v>0</v>
      </c>
      <c r="D343" s="2">
        <f t="shared" si="23"/>
        <v>17.134999999999994</v>
      </c>
    </row>
    <row r="344" spans="1:4" x14ac:dyDescent="0.25">
      <c r="A344">
        <f t="shared" si="21"/>
        <v>6.4799999999999498</v>
      </c>
      <c r="B344" s="2">
        <f t="shared" si="20"/>
        <v>0</v>
      </c>
      <c r="C344" s="2">
        <f t="shared" si="22"/>
        <v>0</v>
      </c>
      <c r="D344" s="2">
        <f t="shared" si="23"/>
        <v>17.134999999999994</v>
      </c>
    </row>
    <row r="345" spans="1:4" x14ac:dyDescent="0.25">
      <c r="A345">
        <f t="shared" si="21"/>
        <v>6.4999999999999494</v>
      </c>
      <c r="B345" s="2">
        <f t="shared" si="20"/>
        <v>0</v>
      </c>
      <c r="C345" s="2">
        <f t="shared" si="22"/>
        <v>0</v>
      </c>
      <c r="D345" s="2">
        <f t="shared" si="23"/>
        <v>17.134999999999994</v>
      </c>
    </row>
    <row r="346" spans="1:4" x14ac:dyDescent="0.25">
      <c r="A346">
        <f t="shared" si="21"/>
        <v>6.5199999999999489</v>
      </c>
      <c r="B346" s="2">
        <f t="shared" si="20"/>
        <v>0</v>
      </c>
      <c r="C346" s="2">
        <f t="shared" si="22"/>
        <v>0</v>
      </c>
      <c r="D346" s="2">
        <f t="shared" si="23"/>
        <v>17.134999999999994</v>
      </c>
    </row>
    <row r="347" spans="1:4" x14ac:dyDescent="0.25">
      <c r="A347">
        <f t="shared" si="21"/>
        <v>6.5399999999999485</v>
      </c>
      <c r="B347" s="2">
        <f t="shared" si="20"/>
        <v>0</v>
      </c>
      <c r="C347" s="2">
        <f t="shared" si="22"/>
        <v>0</v>
      </c>
      <c r="D347" s="2">
        <f t="shared" si="23"/>
        <v>17.134999999999994</v>
      </c>
    </row>
    <row r="348" spans="1:4" x14ac:dyDescent="0.25">
      <c r="A348">
        <f t="shared" si="21"/>
        <v>6.5599999999999481</v>
      </c>
      <c r="B348" s="2">
        <f t="shared" si="20"/>
        <v>0</v>
      </c>
      <c r="C348" s="2">
        <f t="shared" si="22"/>
        <v>0</v>
      </c>
      <c r="D348" s="2">
        <f t="shared" si="23"/>
        <v>17.134999999999994</v>
      </c>
    </row>
    <row r="349" spans="1:4" x14ac:dyDescent="0.25">
      <c r="A349">
        <f t="shared" si="21"/>
        <v>6.5799999999999477</v>
      </c>
      <c r="B349" s="2">
        <f t="shared" si="20"/>
        <v>0</v>
      </c>
      <c r="C349" s="2">
        <f t="shared" si="22"/>
        <v>0</v>
      </c>
      <c r="D349" s="2">
        <f t="shared" si="23"/>
        <v>17.134999999999994</v>
      </c>
    </row>
    <row r="350" spans="1:4" x14ac:dyDescent="0.25">
      <c r="A350">
        <f t="shared" si="21"/>
        <v>6.5999999999999472</v>
      </c>
      <c r="B350" s="2">
        <f t="shared" si="20"/>
        <v>0</v>
      </c>
      <c r="C350" s="2">
        <f t="shared" si="22"/>
        <v>0</v>
      </c>
      <c r="D350" s="2">
        <f t="shared" si="23"/>
        <v>17.134999999999994</v>
      </c>
    </row>
    <row r="351" spans="1:4" x14ac:dyDescent="0.25">
      <c r="A351">
        <f t="shared" si="21"/>
        <v>6.6199999999999468</v>
      </c>
      <c r="B351" s="2">
        <f t="shared" si="20"/>
        <v>0</v>
      </c>
      <c r="C351" s="2">
        <f t="shared" si="22"/>
        <v>0</v>
      </c>
      <c r="D351" s="2">
        <f t="shared" si="23"/>
        <v>17.134999999999994</v>
      </c>
    </row>
    <row r="352" spans="1:4" x14ac:dyDescent="0.25">
      <c r="A352">
        <f t="shared" si="21"/>
        <v>6.6399999999999464</v>
      </c>
      <c r="B352" s="2">
        <f t="shared" si="20"/>
        <v>0</v>
      </c>
      <c r="C352" s="2">
        <f t="shared" si="22"/>
        <v>0</v>
      </c>
      <c r="D352" s="2">
        <f t="shared" si="23"/>
        <v>17.134999999999994</v>
      </c>
    </row>
    <row r="353" spans="1:4" x14ac:dyDescent="0.25">
      <c r="A353">
        <f t="shared" si="21"/>
        <v>6.659999999999946</v>
      </c>
      <c r="B353" s="2">
        <f t="shared" si="20"/>
        <v>0</v>
      </c>
      <c r="C353" s="2">
        <f t="shared" si="22"/>
        <v>0</v>
      </c>
      <c r="D353" s="2">
        <f t="shared" si="23"/>
        <v>17.134999999999994</v>
      </c>
    </row>
    <row r="354" spans="1:4" x14ac:dyDescent="0.25">
      <c r="A354">
        <f t="shared" si="21"/>
        <v>6.6799999999999455</v>
      </c>
      <c r="B354" s="2">
        <f t="shared" si="20"/>
        <v>0</v>
      </c>
      <c r="C354" s="2">
        <f t="shared" si="22"/>
        <v>0</v>
      </c>
      <c r="D354" s="2">
        <f t="shared" si="23"/>
        <v>17.134999999999994</v>
      </c>
    </row>
    <row r="355" spans="1:4" x14ac:dyDescent="0.25">
      <c r="A355">
        <f t="shared" si="21"/>
        <v>6.6999999999999451</v>
      </c>
      <c r="B355" s="2">
        <f t="shared" si="20"/>
        <v>0</v>
      </c>
      <c r="C355" s="2">
        <f t="shared" si="22"/>
        <v>0</v>
      </c>
      <c r="D355" s="2">
        <f t="shared" si="23"/>
        <v>17.134999999999994</v>
      </c>
    </row>
    <row r="356" spans="1:4" x14ac:dyDescent="0.25">
      <c r="A356">
        <f t="shared" si="21"/>
        <v>6.7199999999999447</v>
      </c>
      <c r="B356" s="2">
        <f t="shared" si="20"/>
        <v>0</v>
      </c>
      <c r="C356" s="2">
        <f t="shared" si="22"/>
        <v>0</v>
      </c>
      <c r="D356" s="2">
        <f t="shared" si="23"/>
        <v>17.134999999999994</v>
      </c>
    </row>
    <row r="357" spans="1:4" x14ac:dyDescent="0.25">
      <c r="A357">
        <f t="shared" si="21"/>
        <v>6.7399999999999443</v>
      </c>
      <c r="B357" s="2">
        <f t="shared" si="20"/>
        <v>0</v>
      </c>
      <c r="C357" s="2">
        <f t="shared" si="22"/>
        <v>0</v>
      </c>
      <c r="D357" s="2">
        <f t="shared" si="23"/>
        <v>17.134999999999994</v>
      </c>
    </row>
    <row r="358" spans="1:4" x14ac:dyDescent="0.25">
      <c r="A358">
        <f t="shared" si="21"/>
        <v>6.7599999999999438</v>
      </c>
      <c r="B358" s="2">
        <f t="shared" si="20"/>
        <v>0</v>
      </c>
      <c r="C358" s="2">
        <f t="shared" si="22"/>
        <v>0</v>
      </c>
      <c r="D358" s="2">
        <f t="shared" si="23"/>
        <v>17.134999999999994</v>
      </c>
    </row>
    <row r="359" spans="1:4" x14ac:dyDescent="0.25">
      <c r="A359">
        <f t="shared" si="21"/>
        <v>6.7799999999999434</v>
      </c>
      <c r="B359" s="2">
        <f t="shared" si="20"/>
        <v>0</v>
      </c>
      <c r="C359" s="2">
        <f t="shared" si="22"/>
        <v>0</v>
      </c>
      <c r="D359" s="2">
        <f t="shared" si="23"/>
        <v>17.134999999999994</v>
      </c>
    </row>
    <row r="360" spans="1:4" x14ac:dyDescent="0.25">
      <c r="A360">
        <f t="shared" si="21"/>
        <v>6.799999999999943</v>
      </c>
      <c r="B360" s="2">
        <f t="shared" si="20"/>
        <v>0</v>
      </c>
      <c r="C360" s="2">
        <f t="shared" si="22"/>
        <v>0</v>
      </c>
      <c r="D360" s="2">
        <f t="shared" si="23"/>
        <v>17.134999999999994</v>
      </c>
    </row>
    <row r="361" spans="1:4" x14ac:dyDescent="0.25">
      <c r="A361">
        <f t="shared" si="21"/>
        <v>6.8199999999999426</v>
      </c>
      <c r="B361" s="2">
        <f t="shared" si="20"/>
        <v>0</v>
      </c>
      <c r="C361" s="2">
        <f t="shared" si="22"/>
        <v>0</v>
      </c>
      <c r="D361" s="2">
        <f t="shared" si="23"/>
        <v>17.134999999999994</v>
      </c>
    </row>
    <row r="362" spans="1:4" x14ac:dyDescent="0.25">
      <c r="A362">
        <f t="shared" si="21"/>
        <v>6.8399999999999421</v>
      </c>
      <c r="B362" s="2">
        <f t="shared" si="20"/>
        <v>0</v>
      </c>
      <c r="C362" s="2">
        <f t="shared" si="22"/>
        <v>0</v>
      </c>
      <c r="D362" s="2">
        <f t="shared" si="23"/>
        <v>17.134999999999994</v>
      </c>
    </row>
    <row r="363" spans="1:4" x14ac:dyDescent="0.25">
      <c r="A363">
        <f t="shared" si="21"/>
        <v>6.8599999999999417</v>
      </c>
      <c r="B363" s="2">
        <f t="shared" si="20"/>
        <v>0</v>
      </c>
      <c r="C363" s="2">
        <f t="shared" si="22"/>
        <v>0</v>
      </c>
      <c r="D363" s="2">
        <f t="shared" si="23"/>
        <v>17.134999999999994</v>
      </c>
    </row>
    <row r="364" spans="1:4" x14ac:dyDescent="0.25">
      <c r="A364">
        <f t="shared" si="21"/>
        <v>6.8799999999999413</v>
      </c>
      <c r="B364" s="2">
        <f t="shared" si="20"/>
        <v>0</v>
      </c>
      <c r="C364" s="2">
        <f t="shared" si="22"/>
        <v>0</v>
      </c>
      <c r="D364" s="2">
        <f t="shared" si="23"/>
        <v>17.134999999999994</v>
      </c>
    </row>
    <row r="365" spans="1:4" x14ac:dyDescent="0.25">
      <c r="A365">
        <f t="shared" si="21"/>
        <v>6.8999999999999408</v>
      </c>
      <c r="B365" s="2">
        <f t="shared" si="20"/>
        <v>0</v>
      </c>
      <c r="C365" s="2">
        <f t="shared" si="22"/>
        <v>0</v>
      </c>
      <c r="D365" s="2">
        <f t="shared" si="23"/>
        <v>17.134999999999994</v>
      </c>
    </row>
    <row r="366" spans="1:4" x14ac:dyDescent="0.25">
      <c r="A366">
        <f t="shared" si="21"/>
        <v>6.9199999999999404</v>
      </c>
      <c r="B366" s="2">
        <f t="shared" si="20"/>
        <v>0</v>
      </c>
      <c r="C366" s="2">
        <f t="shared" si="22"/>
        <v>0</v>
      </c>
      <c r="D366" s="2">
        <f t="shared" si="23"/>
        <v>17.134999999999994</v>
      </c>
    </row>
    <row r="367" spans="1:4" x14ac:dyDescent="0.25">
      <c r="A367">
        <f t="shared" si="21"/>
        <v>6.93999999999994</v>
      </c>
      <c r="B367" s="2">
        <f t="shared" si="20"/>
        <v>0</v>
      </c>
      <c r="C367" s="2">
        <f t="shared" si="22"/>
        <v>0</v>
      </c>
      <c r="D367" s="2">
        <f t="shared" si="23"/>
        <v>17.134999999999994</v>
      </c>
    </row>
    <row r="368" spans="1:4" x14ac:dyDescent="0.25">
      <c r="A368">
        <f t="shared" si="21"/>
        <v>6.9599999999999396</v>
      </c>
      <c r="B368" s="2">
        <f t="shared" si="20"/>
        <v>0</v>
      </c>
      <c r="C368" s="2">
        <f t="shared" si="22"/>
        <v>0</v>
      </c>
      <c r="D368" s="2">
        <f t="shared" si="23"/>
        <v>17.134999999999994</v>
      </c>
    </row>
    <row r="369" spans="1:4" x14ac:dyDescent="0.25">
      <c r="A369">
        <f t="shared" si="21"/>
        <v>6.9799999999999391</v>
      </c>
      <c r="B369" s="2">
        <f t="shared" si="20"/>
        <v>0</v>
      </c>
      <c r="C369" s="2">
        <f t="shared" si="22"/>
        <v>0</v>
      </c>
      <c r="D369" s="2">
        <f t="shared" si="23"/>
        <v>17.134999999999994</v>
      </c>
    </row>
    <row r="370" spans="1:4" x14ac:dyDescent="0.25">
      <c r="A370">
        <f t="shared" si="21"/>
        <v>6.9999999999999387</v>
      </c>
      <c r="B370" s="2">
        <f t="shared" si="20"/>
        <v>0</v>
      </c>
      <c r="C370" s="2">
        <f t="shared" si="22"/>
        <v>0</v>
      </c>
      <c r="D370" s="2">
        <f t="shared" si="23"/>
        <v>17.134999999999994</v>
      </c>
    </row>
    <row r="371" spans="1:4" x14ac:dyDescent="0.25">
      <c r="A371">
        <f t="shared" si="21"/>
        <v>7.0199999999999383</v>
      </c>
      <c r="B371" s="2">
        <f t="shared" si="20"/>
        <v>0</v>
      </c>
      <c r="C371" s="2">
        <f t="shared" si="22"/>
        <v>0</v>
      </c>
      <c r="D371" s="2">
        <f t="shared" si="23"/>
        <v>17.134999999999994</v>
      </c>
    </row>
    <row r="372" spans="1:4" x14ac:dyDescent="0.25">
      <c r="A372">
        <f t="shared" si="21"/>
        <v>7.0399999999999379</v>
      </c>
      <c r="B372" s="2">
        <f t="shared" si="20"/>
        <v>0</v>
      </c>
      <c r="C372" s="2">
        <f t="shared" si="22"/>
        <v>0</v>
      </c>
      <c r="D372" s="2">
        <f t="shared" si="23"/>
        <v>17.134999999999994</v>
      </c>
    </row>
    <row r="373" spans="1:4" x14ac:dyDescent="0.25">
      <c r="A373">
        <f t="shared" si="21"/>
        <v>7.0599999999999374</v>
      </c>
      <c r="B373" s="2">
        <f t="shared" si="20"/>
        <v>0</v>
      </c>
      <c r="C373" s="2">
        <f t="shared" si="22"/>
        <v>0</v>
      </c>
      <c r="D373" s="2">
        <f t="shared" si="23"/>
        <v>17.134999999999994</v>
      </c>
    </row>
    <row r="374" spans="1:4" x14ac:dyDescent="0.25">
      <c r="A374">
        <f t="shared" si="21"/>
        <v>7.079999999999937</v>
      </c>
      <c r="B374" s="2">
        <f t="shared" si="20"/>
        <v>0</v>
      </c>
      <c r="C374" s="2">
        <f t="shared" si="22"/>
        <v>0</v>
      </c>
      <c r="D374" s="2">
        <f t="shared" si="23"/>
        <v>17.134999999999994</v>
      </c>
    </row>
    <row r="375" spans="1:4" x14ac:dyDescent="0.25">
      <c r="A375">
        <f t="shared" si="21"/>
        <v>7.0999999999999366</v>
      </c>
      <c r="B375" s="2">
        <f t="shared" si="20"/>
        <v>0</v>
      </c>
      <c r="C375" s="2">
        <f t="shared" si="22"/>
        <v>0</v>
      </c>
      <c r="D375" s="2">
        <f t="shared" si="23"/>
        <v>17.134999999999994</v>
      </c>
    </row>
    <row r="376" spans="1:4" x14ac:dyDescent="0.25">
      <c r="A376">
        <f t="shared" si="21"/>
        <v>7.1199999999999362</v>
      </c>
      <c r="B376" s="2">
        <f t="shared" si="20"/>
        <v>0</v>
      </c>
      <c r="C376" s="2">
        <f t="shared" si="22"/>
        <v>0</v>
      </c>
      <c r="D376" s="2">
        <f t="shared" si="23"/>
        <v>17.134999999999994</v>
      </c>
    </row>
    <row r="377" spans="1:4" x14ac:dyDescent="0.25">
      <c r="A377">
        <f t="shared" si="21"/>
        <v>7.1399999999999357</v>
      </c>
      <c r="B377" s="2">
        <f t="shared" si="20"/>
        <v>0</v>
      </c>
      <c r="C377" s="2">
        <f t="shared" si="22"/>
        <v>0</v>
      </c>
      <c r="D377" s="2">
        <f t="shared" si="23"/>
        <v>17.134999999999994</v>
      </c>
    </row>
    <row r="378" spans="1:4" x14ac:dyDescent="0.25">
      <c r="A378">
        <f t="shared" si="21"/>
        <v>7.1599999999999353</v>
      </c>
      <c r="B378" s="2">
        <f t="shared" si="20"/>
        <v>0</v>
      </c>
      <c r="C378" s="2">
        <f t="shared" si="22"/>
        <v>0</v>
      </c>
      <c r="D378" s="2">
        <f t="shared" si="23"/>
        <v>17.134999999999994</v>
      </c>
    </row>
    <row r="379" spans="1:4" x14ac:dyDescent="0.25">
      <c r="A379">
        <f t="shared" si="21"/>
        <v>7.1799999999999349</v>
      </c>
      <c r="B379" s="2">
        <f t="shared" si="20"/>
        <v>0</v>
      </c>
      <c r="C379" s="2">
        <f t="shared" si="22"/>
        <v>0</v>
      </c>
      <c r="D379" s="2">
        <f t="shared" si="23"/>
        <v>17.134999999999994</v>
      </c>
    </row>
    <row r="380" spans="1:4" x14ac:dyDescent="0.25">
      <c r="A380">
        <f t="shared" si="21"/>
        <v>7.1999999999999345</v>
      </c>
      <c r="B380" s="2">
        <f t="shared" si="20"/>
        <v>0</v>
      </c>
      <c r="C380" s="2">
        <f t="shared" si="22"/>
        <v>0</v>
      </c>
      <c r="D380" s="2">
        <f t="shared" si="23"/>
        <v>17.134999999999994</v>
      </c>
    </row>
    <row r="381" spans="1:4" x14ac:dyDescent="0.25">
      <c r="A381">
        <f t="shared" si="21"/>
        <v>7.219999999999934</v>
      </c>
      <c r="B381" s="2">
        <f t="shared" si="20"/>
        <v>0</v>
      </c>
      <c r="C381" s="2">
        <f t="shared" si="22"/>
        <v>0</v>
      </c>
      <c r="D381" s="2">
        <f t="shared" si="23"/>
        <v>17.134999999999994</v>
      </c>
    </row>
    <row r="382" spans="1:4" x14ac:dyDescent="0.25">
      <c r="A382">
        <f t="shared" si="21"/>
        <v>7.2399999999999336</v>
      </c>
      <c r="B382" s="2">
        <f t="shared" si="20"/>
        <v>0</v>
      </c>
      <c r="C382" s="2">
        <f t="shared" si="22"/>
        <v>0</v>
      </c>
      <c r="D382" s="2">
        <f t="shared" si="23"/>
        <v>17.134999999999994</v>
      </c>
    </row>
    <row r="383" spans="1:4" x14ac:dyDescent="0.25">
      <c r="A383">
        <f t="shared" si="21"/>
        <v>7.2599999999999332</v>
      </c>
      <c r="B383" s="2">
        <f t="shared" si="20"/>
        <v>0</v>
      </c>
      <c r="C383" s="2">
        <f t="shared" si="22"/>
        <v>0</v>
      </c>
      <c r="D383" s="2">
        <f t="shared" si="23"/>
        <v>17.134999999999994</v>
      </c>
    </row>
    <row r="384" spans="1:4" x14ac:dyDescent="0.25">
      <c r="A384">
        <f t="shared" si="21"/>
        <v>7.2799999999999327</v>
      </c>
      <c r="B384" s="2">
        <f t="shared" si="20"/>
        <v>0</v>
      </c>
      <c r="C384" s="2">
        <f t="shared" si="22"/>
        <v>0</v>
      </c>
      <c r="D384" s="2">
        <f t="shared" si="23"/>
        <v>17.134999999999994</v>
      </c>
    </row>
    <row r="385" spans="1:4" x14ac:dyDescent="0.25">
      <c r="A385">
        <f t="shared" si="21"/>
        <v>7.2999999999999323</v>
      </c>
      <c r="B385" s="2">
        <f t="shared" si="20"/>
        <v>0</v>
      </c>
      <c r="C385" s="2">
        <f t="shared" si="22"/>
        <v>0</v>
      </c>
      <c r="D385" s="2">
        <f t="shared" si="23"/>
        <v>17.134999999999994</v>
      </c>
    </row>
    <row r="386" spans="1:4" x14ac:dyDescent="0.25">
      <c r="A386">
        <f t="shared" si="21"/>
        <v>7.3199999999999319</v>
      </c>
      <c r="B386" s="2">
        <f t="shared" si="20"/>
        <v>0</v>
      </c>
      <c r="C386" s="2">
        <f t="shared" si="22"/>
        <v>0</v>
      </c>
      <c r="D386" s="2">
        <f t="shared" si="23"/>
        <v>17.134999999999994</v>
      </c>
    </row>
    <row r="387" spans="1:4" x14ac:dyDescent="0.25">
      <c r="A387">
        <f t="shared" si="21"/>
        <v>7.3399999999999315</v>
      </c>
      <c r="B387" s="2">
        <f t="shared" si="20"/>
        <v>0</v>
      </c>
      <c r="C387" s="2">
        <f t="shared" si="22"/>
        <v>0</v>
      </c>
      <c r="D387" s="2">
        <f t="shared" si="23"/>
        <v>17.134999999999994</v>
      </c>
    </row>
    <row r="388" spans="1:4" x14ac:dyDescent="0.25">
      <c r="A388">
        <f t="shared" si="21"/>
        <v>7.359999999999931</v>
      </c>
      <c r="B388" s="2">
        <f t="shared" si="20"/>
        <v>0</v>
      </c>
      <c r="C388" s="2">
        <f t="shared" si="22"/>
        <v>0</v>
      </c>
      <c r="D388" s="2">
        <f t="shared" si="23"/>
        <v>17.134999999999994</v>
      </c>
    </row>
    <row r="389" spans="1:4" x14ac:dyDescent="0.25">
      <c r="A389">
        <f t="shared" si="21"/>
        <v>7.3799999999999306</v>
      </c>
      <c r="B389" s="2">
        <f t="shared" si="20"/>
        <v>0</v>
      </c>
      <c r="C389" s="2">
        <f t="shared" si="22"/>
        <v>0</v>
      </c>
      <c r="D389" s="2">
        <f t="shared" si="23"/>
        <v>17.134999999999994</v>
      </c>
    </row>
    <row r="390" spans="1:4" x14ac:dyDescent="0.25">
      <c r="A390">
        <f t="shared" si="21"/>
        <v>7.3999999999999302</v>
      </c>
      <c r="B390" s="2">
        <f t="shared" si="20"/>
        <v>0</v>
      </c>
      <c r="C390" s="2">
        <f t="shared" si="22"/>
        <v>0</v>
      </c>
      <c r="D390" s="2">
        <f t="shared" si="23"/>
        <v>17.134999999999994</v>
      </c>
    </row>
    <row r="391" spans="1:4" x14ac:dyDescent="0.25">
      <c r="A391">
        <f t="shared" si="21"/>
        <v>7.4199999999999298</v>
      </c>
      <c r="B391" s="2">
        <f t="shared" si="20"/>
        <v>0</v>
      </c>
      <c r="C391" s="2">
        <f t="shared" si="22"/>
        <v>0</v>
      </c>
      <c r="D391" s="2">
        <f t="shared" si="23"/>
        <v>17.134999999999994</v>
      </c>
    </row>
    <row r="392" spans="1:4" x14ac:dyDescent="0.25">
      <c r="A392">
        <f t="shared" si="21"/>
        <v>7.4399999999999293</v>
      </c>
      <c r="B392" s="2">
        <f t="shared" si="20"/>
        <v>0</v>
      </c>
      <c r="C392" s="2">
        <f t="shared" si="22"/>
        <v>0</v>
      </c>
      <c r="D392" s="2">
        <f t="shared" si="23"/>
        <v>17.134999999999994</v>
      </c>
    </row>
    <row r="393" spans="1:4" x14ac:dyDescent="0.25">
      <c r="A393">
        <f t="shared" si="21"/>
        <v>7.4599999999999289</v>
      </c>
      <c r="B393" s="2">
        <f t="shared" si="20"/>
        <v>0</v>
      </c>
      <c r="C393" s="2">
        <f t="shared" si="22"/>
        <v>0</v>
      </c>
      <c r="D393" s="2">
        <f t="shared" si="23"/>
        <v>17.134999999999994</v>
      </c>
    </row>
    <row r="394" spans="1:4" x14ac:dyDescent="0.25">
      <c r="A394">
        <f t="shared" si="21"/>
        <v>7.4799999999999285</v>
      </c>
      <c r="B394" s="2">
        <f t="shared" si="20"/>
        <v>0</v>
      </c>
      <c r="C394" s="2">
        <f t="shared" si="22"/>
        <v>0</v>
      </c>
      <c r="D394" s="2">
        <f t="shared" si="23"/>
        <v>17.134999999999994</v>
      </c>
    </row>
    <row r="395" spans="1:4" x14ac:dyDescent="0.25">
      <c r="A395">
        <f t="shared" si="21"/>
        <v>7.4999999999999281</v>
      </c>
      <c r="B395" s="2">
        <f t="shared" si="20"/>
        <v>0</v>
      </c>
      <c r="C395" s="2">
        <f t="shared" si="22"/>
        <v>0</v>
      </c>
      <c r="D395" s="2">
        <f t="shared" si="23"/>
        <v>17.134999999999994</v>
      </c>
    </row>
    <row r="396" spans="1:4" x14ac:dyDescent="0.25">
      <c r="A396">
        <f t="shared" si="21"/>
        <v>7.5199999999999276</v>
      </c>
      <c r="B396" s="2">
        <f t="shared" si="20"/>
        <v>0</v>
      </c>
      <c r="C396" s="2">
        <f t="shared" si="22"/>
        <v>0</v>
      </c>
      <c r="D396" s="2">
        <f t="shared" si="23"/>
        <v>17.134999999999994</v>
      </c>
    </row>
    <row r="397" spans="1:4" x14ac:dyDescent="0.25">
      <c r="A397">
        <f t="shared" si="21"/>
        <v>7.5399999999999272</v>
      </c>
      <c r="B397" s="2">
        <f t="shared" si="20"/>
        <v>0</v>
      </c>
      <c r="C397" s="2">
        <f t="shared" si="22"/>
        <v>0</v>
      </c>
      <c r="D397" s="2">
        <f t="shared" si="23"/>
        <v>17.134999999999994</v>
      </c>
    </row>
    <row r="398" spans="1:4" x14ac:dyDescent="0.25">
      <c r="A398">
        <f t="shared" si="21"/>
        <v>7.5599999999999268</v>
      </c>
      <c r="B398" s="2">
        <f t="shared" si="20"/>
        <v>0</v>
      </c>
      <c r="C398" s="2">
        <f t="shared" si="22"/>
        <v>0</v>
      </c>
      <c r="D398" s="2">
        <f t="shared" si="23"/>
        <v>17.134999999999994</v>
      </c>
    </row>
    <row r="399" spans="1:4" x14ac:dyDescent="0.25">
      <c r="A399">
        <f t="shared" si="21"/>
        <v>7.5799999999999264</v>
      </c>
      <c r="B399" s="2">
        <f t="shared" si="20"/>
        <v>0</v>
      </c>
      <c r="C399" s="2">
        <f t="shared" si="22"/>
        <v>0</v>
      </c>
      <c r="D399" s="2">
        <f t="shared" si="23"/>
        <v>17.134999999999994</v>
      </c>
    </row>
    <row r="400" spans="1:4" x14ac:dyDescent="0.25">
      <c r="A400">
        <f t="shared" si="21"/>
        <v>7.5999999999999259</v>
      </c>
      <c r="B400" s="2">
        <f t="shared" si="20"/>
        <v>0</v>
      </c>
      <c r="C400" s="2">
        <f t="shared" si="22"/>
        <v>0</v>
      </c>
      <c r="D400" s="2">
        <f t="shared" si="23"/>
        <v>17.134999999999994</v>
      </c>
    </row>
    <row r="401" spans="1:4" x14ac:dyDescent="0.25">
      <c r="A401">
        <f t="shared" si="21"/>
        <v>7.6199999999999255</v>
      </c>
      <c r="B401" s="2">
        <f t="shared" si="20"/>
        <v>0</v>
      </c>
      <c r="C401" s="2">
        <f t="shared" si="22"/>
        <v>0</v>
      </c>
      <c r="D401" s="2">
        <f t="shared" si="23"/>
        <v>17.134999999999994</v>
      </c>
    </row>
    <row r="402" spans="1:4" x14ac:dyDescent="0.25">
      <c r="A402">
        <f t="shared" si="21"/>
        <v>7.6399999999999251</v>
      </c>
      <c r="B402" s="2">
        <f t="shared" si="20"/>
        <v>0</v>
      </c>
      <c r="C402" s="2">
        <f t="shared" si="22"/>
        <v>0</v>
      </c>
      <c r="D402" s="2">
        <f t="shared" si="23"/>
        <v>17.134999999999994</v>
      </c>
    </row>
    <row r="403" spans="1:4" x14ac:dyDescent="0.25">
      <c r="A403">
        <f t="shared" si="21"/>
        <v>7.6599999999999246</v>
      </c>
      <c r="B403" s="2">
        <f t="shared" si="20"/>
        <v>0</v>
      </c>
      <c r="C403" s="2">
        <f t="shared" si="22"/>
        <v>0</v>
      </c>
      <c r="D403" s="2">
        <f t="shared" si="23"/>
        <v>17.134999999999994</v>
      </c>
    </row>
    <row r="404" spans="1:4" x14ac:dyDescent="0.25">
      <c r="A404">
        <f t="shared" si="21"/>
        <v>7.6799999999999242</v>
      </c>
      <c r="B404" s="2">
        <f t="shared" si="20"/>
        <v>0</v>
      </c>
      <c r="C404" s="2">
        <f t="shared" si="22"/>
        <v>0</v>
      </c>
      <c r="D404" s="2">
        <f t="shared" si="23"/>
        <v>17.134999999999994</v>
      </c>
    </row>
    <row r="405" spans="1:4" x14ac:dyDescent="0.25">
      <c r="A405">
        <f t="shared" si="21"/>
        <v>7.6999999999999238</v>
      </c>
      <c r="B405" s="2">
        <f t="shared" ref="B405:B468" si="24">MAX(0,IF(A405&lt;$B$14,B404+$B$8,IF(AND(A405&gt;=$B$14,A405&lt;=$B$15),$B$11/$B$2,B404-$B$8)))</f>
        <v>0</v>
      </c>
      <c r="C405" s="2">
        <f t="shared" si="22"/>
        <v>0</v>
      </c>
      <c r="D405" s="2">
        <f t="shared" si="23"/>
        <v>17.134999999999994</v>
      </c>
    </row>
    <row r="406" spans="1:4" x14ac:dyDescent="0.25">
      <c r="A406">
        <f t="shared" ref="A406:A469" si="25">A405+$B$1</f>
        <v>7.7199999999999234</v>
      </c>
      <c r="B406" s="2">
        <f t="shared" si="24"/>
        <v>0</v>
      </c>
      <c r="C406" s="2">
        <f t="shared" ref="C406:C469" si="26">B406*$B$2</f>
        <v>0</v>
      </c>
      <c r="D406" s="2">
        <f t="shared" ref="D406:D469" si="27">D405+C405*$B$1</f>
        <v>17.134999999999994</v>
      </c>
    </row>
    <row r="407" spans="1:4" x14ac:dyDescent="0.25">
      <c r="A407">
        <f t="shared" si="25"/>
        <v>7.7399999999999229</v>
      </c>
      <c r="B407" s="2">
        <f t="shared" si="24"/>
        <v>0</v>
      </c>
      <c r="C407" s="2">
        <f t="shared" si="26"/>
        <v>0</v>
      </c>
      <c r="D407" s="2">
        <f t="shared" si="27"/>
        <v>17.134999999999994</v>
      </c>
    </row>
    <row r="408" spans="1:4" x14ac:dyDescent="0.25">
      <c r="A408">
        <f t="shared" si="25"/>
        <v>7.7599999999999225</v>
      </c>
      <c r="B408" s="2">
        <f t="shared" si="24"/>
        <v>0</v>
      </c>
      <c r="C408" s="2">
        <f t="shared" si="26"/>
        <v>0</v>
      </c>
      <c r="D408" s="2">
        <f t="shared" si="27"/>
        <v>17.134999999999994</v>
      </c>
    </row>
    <row r="409" spans="1:4" x14ac:dyDescent="0.25">
      <c r="A409">
        <f t="shared" si="25"/>
        <v>7.7799999999999221</v>
      </c>
      <c r="B409" s="2">
        <f t="shared" si="24"/>
        <v>0</v>
      </c>
      <c r="C409" s="2">
        <f t="shared" si="26"/>
        <v>0</v>
      </c>
      <c r="D409" s="2">
        <f t="shared" si="27"/>
        <v>17.134999999999994</v>
      </c>
    </row>
    <row r="410" spans="1:4" x14ac:dyDescent="0.25">
      <c r="A410">
        <f t="shared" si="25"/>
        <v>7.7999999999999217</v>
      </c>
      <c r="B410" s="2">
        <f t="shared" si="24"/>
        <v>0</v>
      </c>
      <c r="C410" s="2">
        <f t="shared" si="26"/>
        <v>0</v>
      </c>
      <c r="D410" s="2">
        <f t="shared" si="27"/>
        <v>17.134999999999994</v>
      </c>
    </row>
    <row r="411" spans="1:4" x14ac:dyDescent="0.25">
      <c r="A411">
        <f t="shared" si="25"/>
        <v>7.8199999999999212</v>
      </c>
      <c r="B411" s="2">
        <f t="shared" si="24"/>
        <v>0</v>
      </c>
      <c r="C411" s="2">
        <f t="shared" si="26"/>
        <v>0</v>
      </c>
      <c r="D411" s="2">
        <f t="shared" si="27"/>
        <v>17.134999999999994</v>
      </c>
    </row>
    <row r="412" spans="1:4" x14ac:dyDescent="0.25">
      <c r="A412">
        <f t="shared" si="25"/>
        <v>7.8399999999999208</v>
      </c>
      <c r="B412" s="2">
        <f t="shared" si="24"/>
        <v>0</v>
      </c>
      <c r="C412" s="2">
        <f t="shared" si="26"/>
        <v>0</v>
      </c>
      <c r="D412" s="2">
        <f t="shared" si="27"/>
        <v>17.134999999999994</v>
      </c>
    </row>
    <row r="413" spans="1:4" x14ac:dyDescent="0.25">
      <c r="A413">
        <f t="shared" si="25"/>
        <v>7.8599999999999204</v>
      </c>
      <c r="B413" s="2">
        <f t="shared" si="24"/>
        <v>0</v>
      </c>
      <c r="C413" s="2">
        <f t="shared" si="26"/>
        <v>0</v>
      </c>
      <c r="D413" s="2">
        <f t="shared" si="27"/>
        <v>17.134999999999994</v>
      </c>
    </row>
    <row r="414" spans="1:4" x14ac:dyDescent="0.25">
      <c r="A414">
        <f t="shared" si="25"/>
        <v>7.87999999999992</v>
      </c>
      <c r="B414" s="2">
        <f t="shared" si="24"/>
        <v>0</v>
      </c>
      <c r="C414" s="2">
        <f t="shared" si="26"/>
        <v>0</v>
      </c>
      <c r="D414" s="2">
        <f t="shared" si="27"/>
        <v>17.134999999999994</v>
      </c>
    </row>
    <row r="415" spans="1:4" x14ac:dyDescent="0.25">
      <c r="A415">
        <f t="shared" si="25"/>
        <v>7.8999999999999195</v>
      </c>
      <c r="B415" s="2">
        <f t="shared" si="24"/>
        <v>0</v>
      </c>
      <c r="C415" s="2">
        <f t="shared" si="26"/>
        <v>0</v>
      </c>
      <c r="D415" s="2">
        <f t="shared" si="27"/>
        <v>17.134999999999994</v>
      </c>
    </row>
    <row r="416" spans="1:4" x14ac:dyDescent="0.25">
      <c r="A416">
        <f t="shared" si="25"/>
        <v>7.9199999999999191</v>
      </c>
      <c r="B416" s="2">
        <f t="shared" si="24"/>
        <v>0</v>
      </c>
      <c r="C416" s="2">
        <f t="shared" si="26"/>
        <v>0</v>
      </c>
      <c r="D416" s="2">
        <f t="shared" si="27"/>
        <v>17.134999999999994</v>
      </c>
    </row>
    <row r="417" spans="1:4" x14ac:dyDescent="0.25">
      <c r="A417">
        <f t="shared" si="25"/>
        <v>7.9399999999999187</v>
      </c>
      <c r="B417" s="2">
        <f t="shared" si="24"/>
        <v>0</v>
      </c>
      <c r="C417" s="2">
        <f t="shared" si="26"/>
        <v>0</v>
      </c>
      <c r="D417" s="2">
        <f t="shared" si="27"/>
        <v>17.134999999999994</v>
      </c>
    </row>
    <row r="418" spans="1:4" x14ac:dyDescent="0.25">
      <c r="A418">
        <f t="shared" si="25"/>
        <v>7.9599999999999183</v>
      </c>
      <c r="B418" s="2">
        <f t="shared" si="24"/>
        <v>0</v>
      </c>
      <c r="C418" s="2">
        <f t="shared" si="26"/>
        <v>0</v>
      </c>
      <c r="D418" s="2">
        <f t="shared" si="27"/>
        <v>17.134999999999994</v>
      </c>
    </row>
    <row r="419" spans="1:4" x14ac:dyDescent="0.25">
      <c r="A419">
        <f t="shared" si="25"/>
        <v>7.9799999999999178</v>
      </c>
      <c r="B419" s="2">
        <f t="shared" si="24"/>
        <v>0</v>
      </c>
      <c r="C419" s="2">
        <f t="shared" si="26"/>
        <v>0</v>
      </c>
      <c r="D419" s="2">
        <f t="shared" si="27"/>
        <v>17.134999999999994</v>
      </c>
    </row>
    <row r="420" spans="1:4" x14ac:dyDescent="0.25">
      <c r="A420">
        <f t="shared" si="25"/>
        <v>7.9999999999999174</v>
      </c>
      <c r="B420" s="2">
        <f t="shared" si="24"/>
        <v>0</v>
      </c>
      <c r="C420" s="2">
        <f t="shared" si="26"/>
        <v>0</v>
      </c>
      <c r="D420" s="2">
        <f t="shared" si="27"/>
        <v>17.134999999999994</v>
      </c>
    </row>
    <row r="421" spans="1:4" x14ac:dyDescent="0.25">
      <c r="A421">
        <f t="shared" si="25"/>
        <v>8.0199999999999179</v>
      </c>
      <c r="B421" s="2">
        <f t="shared" si="24"/>
        <v>0</v>
      </c>
      <c r="C421" s="2">
        <f t="shared" si="26"/>
        <v>0</v>
      </c>
      <c r="D421" s="2">
        <f t="shared" si="27"/>
        <v>17.134999999999994</v>
      </c>
    </row>
    <row r="422" spans="1:4" x14ac:dyDescent="0.25">
      <c r="A422">
        <f t="shared" si="25"/>
        <v>8.0399999999999174</v>
      </c>
      <c r="B422" s="2">
        <f t="shared" si="24"/>
        <v>0</v>
      </c>
      <c r="C422" s="2">
        <f t="shared" si="26"/>
        <v>0</v>
      </c>
      <c r="D422" s="2">
        <f t="shared" si="27"/>
        <v>17.134999999999994</v>
      </c>
    </row>
    <row r="423" spans="1:4" x14ac:dyDescent="0.25">
      <c r="A423">
        <f t="shared" si="25"/>
        <v>8.059999999999917</v>
      </c>
      <c r="B423" s="2">
        <f t="shared" si="24"/>
        <v>0</v>
      </c>
      <c r="C423" s="2">
        <f t="shared" si="26"/>
        <v>0</v>
      </c>
      <c r="D423" s="2">
        <f t="shared" si="27"/>
        <v>17.134999999999994</v>
      </c>
    </row>
    <row r="424" spans="1:4" x14ac:dyDescent="0.25">
      <c r="A424">
        <f t="shared" si="25"/>
        <v>8.0799999999999166</v>
      </c>
      <c r="B424" s="2">
        <f t="shared" si="24"/>
        <v>0</v>
      </c>
      <c r="C424" s="2">
        <f t="shared" si="26"/>
        <v>0</v>
      </c>
      <c r="D424" s="2">
        <f t="shared" si="27"/>
        <v>17.134999999999994</v>
      </c>
    </row>
    <row r="425" spans="1:4" x14ac:dyDescent="0.25">
      <c r="A425">
        <f t="shared" si="25"/>
        <v>8.0999999999999162</v>
      </c>
      <c r="B425" s="2">
        <f t="shared" si="24"/>
        <v>0</v>
      </c>
      <c r="C425" s="2">
        <f t="shared" si="26"/>
        <v>0</v>
      </c>
      <c r="D425" s="2">
        <f t="shared" si="27"/>
        <v>17.134999999999994</v>
      </c>
    </row>
    <row r="426" spans="1:4" x14ac:dyDescent="0.25">
      <c r="A426">
        <f t="shared" si="25"/>
        <v>8.1199999999999157</v>
      </c>
      <c r="B426" s="2">
        <f t="shared" si="24"/>
        <v>0</v>
      </c>
      <c r="C426" s="2">
        <f t="shared" si="26"/>
        <v>0</v>
      </c>
      <c r="D426" s="2">
        <f t="shared" si="27"/>
        <v>17.134999999999994</v>
      </c>
    </row>
    <row r="427" spans="1:4" x14ac:dyDescent="0.25">
      <c r="A427">
        <f t="shared" si="25"/>
        <v>8.1399999999999153</v>
      </c>
      <c r="B427" s="2">
        <f t="shared" si="24"/>
        <v>0</v>
      </c>
      <c r="C427" s="2">
        <f t="shared" si="26"/>
        <v>0</v>
      </c>
      <c r="D427" s="2">
        <f t="shared" si="27"/>
        <v>17.134999999999994</v>
      </c>
    </row>
    <row r="428" spans="1:4" x14ac:dyDescent="0.25">
      <c r="A428">
        <f t="shared" si="25"/>
        <v>8.1599999999999149</v>
      </c>
      <c r="B428" s="2">
        <f t="shared" si="24"/>
        <v>0</v>
      </c>
      <c r="C428" s="2">
        <f t="shared" si="26"/>
        <v>0</v>
      </c>
      <c r="D428" s="2">
        <f t="shared" si="27"/>
        <v>17.134999999999994</v>
      </c>
    </row>
    <row r="429" spans="1:4" x14ac:dyDescent="0.25">
      <c r="A429">
        <f t="shared" si="25"/>
        <v>8.1799999999999145</v>
      </c>
      <c r="B429" s="2">
        <f t="shared" si="24"/>
        <v>0</v>
      </c>
      <c r="C429" s="2">
        <f t="shared" si="26"/>
        <v>0</v>
      </c>
      <c r="D429" s="2">
        <f t="shared" si="27"/>
        <v>17.134999999999994</v>
      </c>
    </row>
    <row r="430" spans="1:4" x14ac:dyDescent="0.25">
      <c r="A430">
        <f t="shared" si="25"/>
        <v>8.199999999999914</v>
      </c>
      <c r="B430" s="2">
        <f t="shared" si="24"/>
        <v>0</v>
      </c>
      <c r="C430" s="2">
        <f t="shared" si="26"/>
        <v>0</v>
      </c>
      <c r="D430" s="2">
        <f t="shared" si="27"/>
        <v>17.134999999999994</v>
      </c>
    </row>
    <row r="431" spans="1:4" x14ac:dyDescent="0.25">
      <c r="A431">
        <f t="shared" si="25"/>
        <v>8.2199999999999136</v>
      </c>
      <c r="B431" s="2">
        <f t="shared" si="24"/>
        <v>0</v>
      </c>
      <c r="C431" s="2">
        <f t="shared" si="26"/>
        <v>0</v>
      </c>
      <c r="D431" s="2">
        <f t="shared" si="27"/>
        <v>17.134999999999994</v>
      </c>
    </row>
    <row r="432" spans="1:4" x14ac:dyDescent="0.25">
      <c r="A432">
        <f t="shared" si="25"/>
        <v>8.2399999999999132</v>
      </c>
      <c r="B432" s="2">
        <f t="shared" si="24"/>
        <v>0</v>
      </c>
      <c r="C432" s="2">
        <f t="shared" si="26"/>
        <v>0</v>
      </c>
      <c r="D432" s="2">
        <f t="shared" si="27"/>
        <v>17.134999999999994</v>
      </c>
    </row>
    <row r="433" spans="1:4" x14ac:dyDescent="0.25">
      <c r="A433">
        <f t="shared" si="25"/>
        <v>8.2599999999999127</v>
      </c>
      <c r="B433" s="2">
        <f t="shared" si="24"/>
        <v>0</v>
      </c>
      <c r="C433" s="2">
        <f t="shared" si="26"/>
        <v>0</v>
      </c>
      <c r="D433" s="2">
        <f t="shared" si="27"/>
        <v>17.134999999999994</v>
      </c>
    </row>
    <row r="434" spans="1:4" x14ac:dyDescent="0.25">
      <c r="A434">
        <f t="shared" si="25"/>
        <v>8.2799999999999123</v>
      </c>
      <c r="B434" s="2">
        <f t="shared" si="24"/>
        <v>0</v>
      </c>
      <c r="C434" s="2">
        <f t="shared" si="26"/>
        <v>0</v>
      </c>
      <c r="D434" s="2">
        <f t="shared" si="27"/>
        <v>17.134999999999994</v>
      </c>
    </row>
    <row r="435" spans="1:4" x14ac:dyDescent="0.25">
      <c r="A435">
        <f t="shared" si="25"/>
        <v>8.2999999999999119</v>
      </c>
      <c r="B435" s="2">
        <f t="shared" si="24"/>
        <v>0</v>
      </c>
      <c r="C435" s="2">
        <f t="shared" si="26"/>
        <v>0</v>
      </c>
      <c r="D435" s="2">
        <f t="shared" si="27"/>
        <v>17.134999999999994</v>
      </c>
    </row>
    <row r="436" spans="1:4" x14ac:dyDescent="0.25">
      <c r="A436">
        <f t="shared" si="25"/>
        <v>8.3199999999999115</v>
      </c>
      <c r="B436" s="2">
        <f t="shared" si="24"/>
        <v>0</v>
      </c>
      <c r="C436" s="2">
        <f t="shared" si="26"/>
        <v>0</v>
      </c>
      <c r="D436" s="2">
        <f t="shared" si="27"/>
        <v>17.134999999999994</v>
      </c>
    </row>
    <row r="437" spans="1:4" x14ac:dyDescent="0.25">
      <c r="A437">
        <f t="shared" si="25"/>
        <v>8.339999999999911</v>
      </c>
      <c r="B437" s="2">
        <f t="shared" si="24"/>
        <v>0</v>
      </c>
      <c r="C437" s="2">
        <f t="shared" si="26"/>
        <v>0</v>
      </c>
      <c r="D437" s="2">
        <f t="shared" si="27"/>
        <v>17.134999999999994</v>
      </c>
    </row>
    <row r="438" spans="1:4" x14ac:dyDescent="0.25">
      <c r="A438">
        <f t="shared" si="25"/>
        <v>8.3599999999999106</v>
      </c>
      <c r="B438" s="2">
        <f t="shared" si="24"/>
        <v>0</v>
      </c>
      <c r="C438" s="2">
        <f t="shared" si="26"/>
        <v>0</v>
      </c>
      <c r="D438" s="2">
        <f t="shared" si="27"/>
        <v>17.134999999999994</v>
      </c>
    </row>
    <row r="439" spans="1:4" x14ac:dyDescent="0.25">
      <c r="A439">
        <f t="shared" si="25"/>
        <v>8.3799999999999102</v>
      </c>
      <c r="B439" s="2">
        <f t="shared" si="24"/>
        <v>0</v>
      </c>
      <c r="C439" s="2">
        <f t="shared" si="26"/>
        <v>0</v>
      </c>
      <c r="D439" s="2">
        <f t="shared" si="27"/>
        <v>17.134999999999994</v>
      </c>
    </row>
    <row r="440" spans="1:4" x14ac:dyDescent="0.25">
      <c r="A440">
        <f t="shared" si="25"/>
        <v>8.3999999999999098</v>
      </c>
      <c r="B440" s="2">
        <f t="shared" si="24"/>
        <v>0</v>
      </c>
      <c r="C440" s="2">
        <f t="shared" si="26"/>
        <v>0</v>
      </c>
      <c r="D440" s="2">
        <f t="shared" si="27"/>
        <v>17.134999999999994</v>
      </c>
    </row>
    <row r="441" spans="1:4" x14ac:dyDescent="0.25">
      <c r="A441">
        <f t="shared" si="25"/>
        <v>8.4199999999999093</v>
      </c>
      <c r="B441" s="2">
        <f t="shared" si="24"/>
        <v>0</v>
      </c>
      <c r="C441" s="2">
        <f t="shared" si="26"/>
        <v>0</v>
      </c>
      <c r="D441" s="2">
        <f t="shared" si="27"/>
        <v>17.134999999999994</v>
      </c>
    </row>
    <row r="442" spans="1:4" x14ac:dyDescent="0.25">
      <c r="A442">
        <f t="shared" si="25"/>
        <v>8.4399999999999089</v>
      </c>
      <c r="B442" s="2">
        <f t="shared" si="24"/>
        <v>0</v>
      </c>
      <c r="C442" s="2">
        <f t="shared" si="26"/>
        <v>0</v>
      </c>
      <c r="D442" s="2">
        <f t="shared" si="27"/>
        <v>17.134999999999994</v>
      </c>
    </row>
    <row r="443" spans="1:4" x14ac:dyDescent="0.25">
      <c r="A443">
        <f t="shared" si="25"/>
        <v>8.4599999999999085</v>
      </c>
      <c r="B443" s="2">
        <f t="shared" si="24"/>
        <v>0</v>
      </c>
      <c r="C443" s="2">
        <f t="shared" si="26"/>
        <v>0</v>
      </c>
      <c r="D443" s="2">
        <f t="shared" si="27"/>
        <v>17.134999999999994</v>
      </c>
    </row>
    <row r="444" spans="1:4" x14ac:dyDescent="0.25">
      <c r="A444">
        <f t="shared" si="25"/>
        <v>8.4799999999999081</v>
      </c>
      <c r="B444" s="2">
        <f t="shared" si="24"/>
        <v>0</v>
      </c>
      <c r="C444" s="2">
        <f t="shared" si="26"/>
        <v>0</v>
      </c>
      <c r="D444" s="2">
        <f t="shared" si="27"/>
        <v>17.134999999999994</v>
      </c>
    </row>
    <row r="445" spans="1:4" x14ac:dyDescent="0.25">
      <c r="A445">
        <f t="shared" si="25"/>
        <v>8.4999999999999076</v>
      </c>
      <c r="B445" s="2">
        <f t="shared" si="24"/>
        <v>0</v>
      </c>
      <c r="C445" s="2">
        <f t="shared" si="26"/>
        <v>0</v>
      </c>
      <c r="D445" s="2">
        <f t="shared" si="27"/>
        <v>17.134999999999994</v>
      </c>
    </row>
    <row r="446" spans="1:4" x14ac:dyDescent="0.25">
      <c r="A446">
        <f t="shared" si="25"/>
        <v>8.5199999999999072</v>
      </c>
      <c r="B446" s="2">
        <f t="shared" si="24"/>
        <v>0</v>
      </c>
      <c r="C446" s="2">
        <f t="shared" si="26"/>
        <v>0</v>
      </c>
      <c r="D446" s="2">
        <f t="shared" si="27"/>
        <v>17.134999999999994</v>
      </c>
    </row>
    <row r="447" spans="1:4" x14ac:dyDescent="0.25">
      <c r="A447">
        <f t="shared" si="25"/>
        <v>8.5399999999999068</v>
      </c>
      <c r="B447" s="2">
        <f t="shared" si="24"/>
        <v>0</v>
      </c>
      <c r="C447" s="2">
        <f t="shared" si="26"/>
        <v>0</v>
      </c>
      <c r="D447" s="2">
        <f t="shared" si="27"/>
        <v>17.134999999999994</v>
      </c>
    </row>
    <row r="448" spans="1:4" x14ac:dyDescent="0.25">
      <c r="A448">
        <f t="shared" si="25"/>
        <v>8.5599999999999064</v>
      </c>
      <c r="B448" s="2">
        <f t="shared" si="24"/>
        <v>0</v>
      </c>
      <c r="C448" s="2">
        <f t="shared" si="26"/>
        <v>0</v>
      </c>
      <c r="D448" s="2">
        <f t="shared" si="27"/>
        <v>17.134999999999994</v>
      </c>
    </row>
    <row r="449" spans="1:4" x14ac:dyDescent="0.25">
      <c r="A449">
        <f t="shared" si="25"/>
        <v>8.5799999999999059</v>
      </c>
      <c r="B449" s="2">
        <f t="shared" si="24"/>
        <v>0</v>
      </c>
      <c r="C449" s="2">
        <f t="shared" si="26"/>
        <v>0</v>
      </c>
      <c r="D449" s="2">
        <f t="shared" si="27"/>
        <v>17.134999999999994</v>
      </c>
    </row>
    <row r="450" spans="1:4" x14ac:dyDescent="0.25">
      <c r="A450">
        <f t="shared" si="25"/>
        <v>8.5999999999999055</v>
      </c>
      <c r="B450" s="2">
        <f t="shared" si="24"/>
        <v>0</v>
      </c>
      <c r="C450" s="2">
        <f t="shared" si="26"/>
        <v>0</v>
      </c>
      <c r="D450" s="2">
        <f t="shared" si="27"/>
        <v>17.134999999999994</v>
      </c>
    </row>
    <row r="451" spans="1:4" x14ac:dyDescent="0.25">
      <c r="A451">
        <f t="shared" si="25"/>
        <v>8.6199999999999051</v>
      </c>
      <c r="B451" s="2">
        <f t="shared" si="24"/>
        <v>0</v>
      </c>
      <c r="C451" s="2">
        <f t="shared" si="26"/>
        <v>0</v>
      </c>
      <c r="D451" s="2">
        <f t="shared" si="27"/>
        <v>17.134999999999994</v>
      </c>
    </row>
    <row r="452" spans="1:4" x14ac:dyDescent="0.25">
      <c r="A452">
        <f t="shared" si="25"/>
        <v>8.6399999999999046</v>
      </c>
      <c r="B452" s="2">
        <f t="shared" si="24"/>
        <v>0</v>
      </c>
      <c r="C452" s="2">
        <f t="shared" si="26"/>
        <v>0</v>
      </c>
      <c r="D452" s="2">
        <f t="shared" si="27"/>
        <v>17.134999999999994</v>
      </c>
    </row>
    <row r="453" spans="1:4" x14ac:dyDescent="0.25">
      <c r="A453">
        <f t="shared" si="25"/>
        <v>8.6599999999999042</v>
      </c>
      <c r="B453" s="2">
        <f t="shared" si="24"/>
        <v>0</v>
      </c>
      <c r="C453" s="2">
        <f t="shared" si="26"/>
        <v>0</v>
      </c>
      <c r="D453" s="2">
        <f t="shared" si="27"/>
        <v>17.134999999999994</v>
      </c>
    </row>
    <row r="454" spans="1:4" x14ac:dyDescent="0.25">
      <c r="A454">
        <f t="shared" si="25"/>
        <v>8.6799999999999038</v>
      </c>
      <c r="B454" s="2">
        <f t="shared" si="24"/>
        <v>0</v>
      </c>
      <c r="C454" s="2">
        <f t="shared" si="26"/>
        <v>0</v>
      </c>
      <c r="D454" s="2">
        <f t="shared" si="27"/>
        <v>17.134999999999994</v>
      </c>
    </row>
    <row r="455" spans="1:4" x14ac:dyDescent="0.25">
      <c r="A455">
        <f t="shared" si="25"/>
        <v>8.6999999999999034</v>
      </c>
      <c r="B455" s="2">
        <f t="shared" si="24"/>
        <v>0</v>
      </c>
      <c r="C455" s="2">
        <f t="shared" si="26"/>
        <v>0</v>
      </c>
      <c r="D455" s="2">
        <f t="shared" si="27"/>
        <v>17.134999999999994</v>
      </c>
    </row>
    <row r="456" spans="1:4" x14ac:dyDescent="0.25">
      <c r="A456">
        <f t="shared" si="25"/>
        <v>8.7199999999999029</v>
      </c>
      <c r="B456" s="2">
        <f t="shared" si="24"/>
        <v>0</v>
      </c>
      <c r="C456" s="2">
        <f t="shared" si="26"/>
        <v>0</v>
      </c>
      <c r="D456" s="2">
        <f t="shared" si="27"/>
        <v>17.134999999999994</v>
      </c>
    </row>
    <row r="457" spans="1:4" x14ac:dyDescent="0.25">
      <c r="A457">
        <f t="shared" si="25"/>
        <v>8.7399999999999025</v>
      </c>
      <c r="B457" s="2">
        <f t="shared" si="24"/>
        <v>0</v>
      </c>
      <c r="C457" s="2">
        <f t="shared" si="26"/>
        <v>0</v>
      </c>
      <c r="D457" s="2">
        <f t="shared" si="27"/>
        <v>17.134999999999994</v>
      </c>
    </row>
    <row r="458" spans="1:4" x14ac:dyDescent="0.25">
      <c r="A458">
        <f t="shared" si="25"/>
        <v>8.7599999999999021</v>
      </c>
      <c r="B458" s="2">
        <f t="shared" si="24"/>
        <v>0</v>
      </c>
      <c r="C458" s="2">
        <f t="shared" si="26"/>
        <v>0</v>
      </c>
      <c r="D458" s="2">
        <f t="shared" si="27"/>
        <v>17.134999999999994</v>
      </c>
    </row>
    <row r="459" spans="1:4" x14ac:dyDescent="0.25">
      <c r="A459">
        <f t="shared" si="25"/>
        <v>8.7799999999999017</v>
      </c>
      <c r="B459" s="2">
        <f t="shared" si="24"/>
        <v>0</v>
      </c>
      <c r="C459" s="2">
        <f t="shared" si="26"/>
        <v>0</v>
      </c>
      <c r="D459" s="2">
        <f t="shared" si="27"/>
        <v>17.134999999999994</v>
      </c>
    </row>
    <row r="460" spans="1:4" x14ac:dyDescent="0.25">
      <c r="A460">
        <f t="shared" si="25"/>
        <v>8.7999999999999012</v>
      </c>
      <c r="B460" s="2">
        <f t="shared" si="24"/>
        <v>0</v>
      </c>
      <c r="C460" s="2">
        <f t="shared" si="26"/>
        <v>0</v>
      </c>
      <c r="D460" s="2">
        <f t="shared" si="27"/>
        <v>17.134999999999994</v>
      </c>
    </row>
    <row r="461" spans="1:4" x14ac:dyDescent="0.25">
      <c r="A461">
        <f t="shared" si="25"/>
        <v>8.8199999999999008</v>
      </c>
      <c r="B461" s="2">
        <f t="shared" si="24"/>
        <v>0</v>
      </c>
      <c r="C461" s="2">
        <f t="shared" si="26"/>
        <v>0</v>
      </c>
      <c r="D461" s="2">
        <f t="shared" si="27"/>
        <v>17.134999999999994</v>
      </c>
    </row>
    <row r="462" spans="1:4" x14ac:dyDescent="0.25">
      <c r="A462">
        <f t="shared" si="25"/>
        <v>8.8399999999999004</v>
      </c>
      <c r="B462" s="2">
        <f t="shared" si="24"/>
        <v>0</v>
      </c>
      <c r="C462" s="2">
        <f t="shared" si="26"/>
        <v>0</v>
      </c>
      <c r="D462" s="2">
        <f t="shared" si="27"/>
        <v>17.134999999999994</v>
      </c>
    </row>
    <row r="463" spans="1:4" x14ac:dyDescent="0.25">
      <c r="A463">
        <f t="shared" si="25"/>
        <v>8.8599999999999</v>
      </c>
      <c r="B463" s="2">
        <f t="shared" si="24"/>
        <v>0</v>
      </c>
      <c r="C463" s="2">
        <f t="shared" si="26"/>
        <v>0</v>
      </c>
      <c r="D463" s="2">
        <f t="shared" si="27"/>
        <v>17.134999999999994</v>
      </c>
    </row>
    <row r="464" spans="1:4" x14ac:dyDescent="0.25">
      <c r="A464">
        <f t="shared" si="25"/>
        <v>8.8799999999998995</v>
      </c>
      <c r="B464" s="2">
        <f t="shared" si="24"/>
        <v>0</v>
      </c>
      <c r="C464" s="2">
        <f t="shared" si="26"/>
        <v>0</v>
      </c>
      <c r="D464" s="2">
        <f t="shared" si="27"/>
        <v>17.134999999999994</v>
      </c>
    </row>
    <row r="465" spans="1:4" x14ac:dyDescent="0.25">
      <c r="A465">
        <f t="shared" si="25"/>
        <v>8.8999999999998991</v>
      </c>
      <c r="B465" s="2">
        <f t="shared" si="24"/>
        <v>0</v>
      </c>
      <c r="C465" s="2">
        <f t="shared" si="26"/>
        <v>0</v>
      </c>
      <c r="D465" s="2">
        <f t="shared" si="27"/>
        <v>17.134999999999994</v>
      </c>
    </row>
    <row r="466" spans="1:4" x14ac:dyDescent="0.25">
      <c r="A466">
        <f t="shared" si="25"/>
        <v>8.9199999999998987</v>
      </c>
      <c r="B466" s="2">
        <f t="shared" si="24"/>
        <v>0</v>
      </c>
      <c r="C466" s="2">
        <f t="shared" si="26"/>
        <v>0</v>
      </c>
      <c r="D466" s="2">
        <f t="shared" si="27"/>
        <v>17.134999999999994</v>
      </c>
    </row>
    <row r="467" spans="1:4" x14ac:dyDescent="0.25">
      <c r="A467">
        <f t="shared" si="25"/>
        <v>8.9399999999998983</v>
      </c>
      <c r="B467" s="2">
        <f t="shared" si="24"/>
        <v>0</v>
      </c>
      <c r="C467" s="2">
        <f t="shared" si="26"/>
        <v>0</v>
      </c>
      <c r="D467" s="2">
        <f t="shared" si="27"/>
        <v>17.134999999999994</v>
      </c>
    </row>
    <row r="468" spans="1:4" x14ac:dyDescent="0.25">
      <c r="A468">
        <f t="shared" si="25"/>
        <v>8.9599999999998978</v>
      </c>
      <c r="B468" s="2">
        <f t="shared" si="24"/>
        <v>0</v>
      </c>
      <c r="C468" s="2">
        <f t="shared" si="26"/>
        <v>0</v>
      </c>
      <c r="D468" s="2">
        <f t="shared" si="27"/>
        <v>17.134999999999994</v>
      </c>
    </row>
    <row r="469" spans="1:4" x14ac:dyDescent="0.25">
      <c r="A469">
        <f t="shared" si="25"/>
        <v>8.9799999999998974</v>
      </c>
      <c r="B469" s="2">
        <f t="shared" ref="B469:B532" si="28">MAX(0,IF(A469&lt;$B$14,B468+$B$8,IF(AND(A469&gt;=$B$14,A469&lt;=$B$15),$B$11/$B$2,B468-$B$8)))</f>
        <v>0</v>
      </c>
      <c r="C469" s="2">
        <f t="shared" si="26"/>
        <v>0</v>
      </c>
      <c r="D469" s="2">
        <f t="shared" si="27"/>
        <v>17.134999999999994</v>
      </c>
    </row>
    <row r="470" spans="1:4" x14ac:dyDescent="0.25">
      <c r="A470">
        <f t="shared" ref="A470:A533" si="29">A469+$B$1</f>
        <v>8.999999999999897</v>
      </c>
      <c r="B470" s="2">
        <f t="shared" si="28"/>
        <v>0</v>
      </c>
      <c r="C470" s="2">
        <f t="shared" ref="C470:C533" si="30">B470*$B$2</f>
        <v>0</v>
      </c>
      <c r="D470" s="2">
        <f t="shared" ref="D470:D533" si="31">D469+C469*$B$1</f>
        <v>17.134999999999994</v>
      </c>
    </row>
    <row r="471" spans="1:4" x14ac:dyDescent="0.25">
      <c r="A471">
        <f t="shared" si="29"/>
        <v>9.0199999999998965</v>
      </c>
      <c r="B471" s="2">
        <f t="shared" si="28"/>
        <v>0</v>
      </c>
      <c r="C471" s="2">
        <f t="shared" si="30"/>
        <v>0</v>
      </c>
      <c r="D471" s="2">
        <f t="shared" si="31"/>
        <v>17.134999999999994</v>
      </c>
    </row>
    <row r="472" spans="1:4" x14ac:dyDescent="0.25">
      <c r="A472">
        <f t="shared" si="29"/>
        <v>9.0399999999998961</v>
      </c>
      <c r="B472" s="2">
        <f t="shared" si="28"/>
        <v>0</v>
      </c>
      <c r="C472" s="2">
        <f t="shared" si="30"/>
        <v>0</v>
      </c>
      <c r="D472" s="2">
        <f t="shared" si="31"/>
        <v>17.134999999999994</v>
      </c>
    </row>
    <row r="473" spans="1:4" x14ac:dyDescent="0.25">
      <c r="A473">
        <f t="shared" si="29"/>
        <v>9.0599999999998957</v>
      </c>
      <c r="B473" s="2">
        <f t="shared" si="28"/>
        <v>0</v>
      </c>
      <c r="C473" s="2">
        <f t="shared" si="30"/>
        <v>0</v>
      </c>
      <c r="D473" s="2">
        <f t="shared" si="31"/>
        <v>17.134999999999994</v>
      </c>
    </row>
    <row r="474" spans="1:4" x14ac:dyDescent="0.25">
      <c r="A474">
        <f t="shared" si="29"/>
        <v>9.0799999999998953</v>
      </c>
      <c r="B474" s="2">
        <f t="shared" si="28"/>
        <v>0</v>
      </c>
      <c r="C474" s="2">
        <f t="shared" si="30"/>
        <v>0</v>
      </c>
      <c r="D474" s="2">
        <f t="shared" si="31"/>
        <v>17.134999999999994</v>
      </c>
    </row>
    <row r="475" spans="1:4" x14ac:dyDescent="0.25">
      <c r="A475">
        <f t="shared" si="29"/>
        <v>9.0999999999998948</v>
      </c>
      <c r="B475" s="2">
        <f t="shared" si="28"/>
        <v>0</v>
      </c>
      <c r="C475" s="2">
        <f t="shared" si="30"/>
        <v>0</v>
      </c>
      <c r="D475" s="2">
        <f t="shared" si="31"/>
        <v>17.134999999999994</v>
      </c>
    </row>
    <row r="476" spans="1:4" x14ac:dyDescent="0.25">
      <c r="A476">
        <f t="shared" si="29"/>
        <v>9.1199999999998944</v>
      </c>
      <c r="B476" s="2">
        <f t="shared" si="28"/>
        <v>0</v>
      </c>
      <c r="C476" s="2">
        <f t="shared" si="30"/>
        <v>0</v>
      </c>
      <c r="D476" s="2">
        <f t="shared" si="31"/>
        <v>17.134999999999994</v>
      </c>
    </row>
    <row r="477" spans="1:4" x14ac:dyDescent="0.25">
      <c r="A477">
        <f t="shared" si="29"/>
        <v>9.139999999999894</v>
      </c>
      <c r="B477" s="2">
        <f t="shared" si="28"/>
        <v>0</v>
      </c>
      <c r="C477" s="2">
        <f t="shared" si="30"/>
        <v>0</v>
      </c>
      <c r="D477" s="2">
        <f t="shared" si="31"/>
        <v>17.134999999999994</v>
      </c>
    </row>
    <row r="478" spans="1:4" x14ac:dyDescent="0.25">
      <c r="A478">
        <f t="shared" si="29"/>
        <v>9.1599999999998936</v>
      </c>
      <c r="B478" s="2">
        <f t="shared" si="28"/>
        <v>0</v>
      </c>
      <c r="C478" s="2">
        <f t="shared" si="30"/>
        <v>0</v>
      </c>
      <c r="D478" s="2">
        <f t="shared" si="31"/>
        <v>17.134999999999994</v>
      </c>
    </row>
    <row r="479" spans="1:4" x14ac:dyDescent="0.25">
      <c r="A479">
        <f t="shared" si="29"/>
        <v>9.1799999999998931</v>
      </c>
      <c r="B479" s="2">
        <f t="shared" si="28"/>
        <v>0</v>
      </c>
      <c r="C479" s="2">
        <f t="shared" si="30"/>
        <v>0</v>
      </c>
      <c r="D479" s="2">
        <f t="shared" si="31"/>
        <v>17.134999999999994</v>
      </c>
    </row>
    <row r="480" spans="1:4" x14ac:dyDescent="0.25">
      <c r="A480">
        <f t="shared" si="29"/>
        <v>9.1999999999998927</v>
      </c>
      <c r="B480" s="2">
        <f t="shared" si="28"/>
        <v>0</v>
      </c>
      <c r="C480" s="2">
        <f t="shared" si="30"/>
        <v>0</v>
      </c>
      <c r="D480" s="2">
        <f t="shared" si="31"/>
        <v>17.134999999999994</v>
      </c>
    </row>
    <row r="481" spans="1:4" x14ac:dyDescent="0.25">
      <c r="A481">
        <f t="shared" si="29"/>
        <v>9.2199999999998923</v>
      </c>
      <c r="B481" s="2">
        <f t="shared" si="28"/>
        <v>0</v>
      </c>
      <c r="C481" s="2">
        <f t="shared" si="30"/>
        <v>0</v>
      </c>
      <c r="D481" s="2">
        <f t="shared" si="31"/>
        <v>17.134999999999994</v>
      </c>
    </row>
    <row r="482" spans="1:4" x14ac:dyDescent="0.25">
      <c r="A482">
        <f t="shared" si="29"/>
        <v>9.2399999999998919</v>
      </c>
      <c r="B482" s="2">
        <f t="shared" si="28"/>
        <v>0</v>
      </c>
      <c r="C482" s="2">
        <f t="shared" si="30"/>
        <v>0</v>
      </c>
      <c r="D482" s="2">
        <f t="shared" si="31"/>
        <v>17.134999999999994</v>
      </c>
    </row>
    <row r="483" spans="1:4" x14ac:dyDescent="0.25">
      <c r="A483">
        <f t="shared" si="29"/>
        <v>9.2599999999998914</v>
      </c>
      <c r="B483" s="2">
        <f t="shared" si="28"/>
        <v>0</v>
      </c>
      <c r="C483" s="2">
        <f t="shared" si="30"/>
        <v>0</v>
      </c>
      <c r="D483" s="2">
        <f t="shared" si="31"/>
        <v>17.134999999999994</v>
      </c>
    </row>
    <row r="484" spans="1:4" x14ac:dyDescent="0.25">
      <c r="A484">
        <f t="shared" si="29"/>
        <v>9.279999999999891</v>
      </c>
      <c r="B484" s="2">
        <f t="shared" si="28"/>
        <v>0</v>
      </c>
      <c r="C484" s="2">
        <f t="shared" si="30"/>
        <v>0</v>
      </c>
      <c r="D484" s="2">
        <f t="shared" si="31"/>
        <v>17.134999999999994</v>
      </c>
    </row>
    <row r="485" spans="1:4" x14ac:dyDescent="0.25">
      <c r="A485">
        <f t="shared" si="29"/>
        <v>9.2999999999998906</v>
      </c>
      <c r="B485" s="2">
        <f t="shared" si="28"/>
        <v>0</v>
      </c>
      <c r="C485" s="2">
        <f t="shared" si="30"/>
        <v>0</v>
      </c>
      <c r="D485" s="2">
        <f t="shared" si="31"/>
        <v>17.134999999999994</v>
      </c>
    </row>
    <row r="486" spans="1:4" x14ac:dyDescent="0.25">
      <c r="A486">
        <f t="shared" si="29"/>
        <v>9.3199999999998902</v>
      </c>
      <c r="B486" s="2">
        <f t="shared" si="28"/>
        <v>0</v>
      </c>
      <c r="C486" s="2">
        <f t="shared" si="30"/>
        <v>0</v>
      </c>
      <c r="D486" s="2">
        <f t="shared" si="31"/>
        <v>17.134999999999994</v>
      </c>
    </row>
    <row r="487" spans="1:4" x14ac:dyDescent="0.25">
      <c r="A487">
        <f t="shared" si="29"/>
        <v>9.3399999999998897</v>
      </c>
      <c r="B487" s="2">
        <f t="shared" si="28"/>
        <v>0</v>
      </c>
      <c r="C487" s="2">
        <f t="shared" si="30"/>
        <v>0</v>
      </c>
      <c r="D487" s="2">
        <f t="shared" si="31"/>
        <v>17.134999999999994</v>
      </c>
    </row>
    <row r="488" spans="1:4" x14ac:dyDescent="0.25">
      <c r="A488">
        <f t="shared" si="29"/>
        <v>9.3599999999998893</v>
      </c>
      <c r="B488" s="2">
        <f t="shared" si="28"/>
        <v>0</v>
      </c>
      <c r="C488" s="2">
        <f t="shared" si="30"/>
        <v>0</v>
      </c>
      <c r="D488" s="2">
        <f t="shared" si="31"/>
        <v>17.134999999999994</v>
      </c>
    </row>
    <row r="489" spans="1:4" x14ac:dyDescent="0.25">
      <c r="A489">
        <f t="shared" si="29"/>
        <v>9.3799999999998889</v>
      </c>
      <c r="B489" s="2">
        <f t="shared" si="28"/>
        <v>0</v>
      </c>
      <c r="C489" s="2">
        <f t="shared" si="30"/>
        <v>0</v>
      </c>
      <c r="D489" s="2">
        <f t="shared" si="31"/>
        <v>17.134999999999994</v>
      </c>
    </row>
    <row r="490" spans="1:4" x14ac:dyDescent="0.25">
      <c r="A490">
        <f t="shared" si="29"/>
        <v>9.3999999999998884</v>
      </c>
      <c r="B490" s="2">
        <f t="shared" si="28"/>
        <v>0</v>
      </c>
      <c r="C490" s="2">
        <f t="shared" si="30"/>
        <v>0</v>
      </c>
      <c r="D490" s="2">
        <f t="shared" si="31"/>
        <v>17.134999999999994</v>
      </c>
    </row>
    <row r="491" spans="1:4" x14ac:dyDescent="0.25">
      <c r="A491">
        <f t="shared" si="29"/>
        <v>9.419999999999888</v>
      </c>
      <c r="B491" s="2">
        <f t="shared" si="28"/>
        <v>0</v>
      </c>
      <c r="C491" s="2">
        <f t="shared" si="30"/>
        <v>0</v>
      </c>
      <c r="D491" s="2">
        <f t="shared" si="31"/>
        <v>17.134999999999994</v>
      </c>
    </row>
    <row r="492" spans="1:4" x14ac:dyDescent="0.25">
      <c r="A492">
        <f t="shared" si="29"/>
        <v>9.4399999999998876</v>
      </c>
      <c r="B492" s="2">
        <f t="shared" si="28"/>
        <v>0</v>
      </c>
      <c r="C492" s="2">
        <f t="shared" si="30"/>
        <v>0</v>
      </c>
      <c r="D492" s="2">
        <f t="shared" si="31"/>
        <v>17.134999999999994</v>
      </c>
    </row>
    <row r="493" spans="1:4" x14ac:dyDescent="0.25">
      <c r="A493">
        <f t="shared" si="29"/>
        <v>9.4599999999998872</v>
      </c>
      <c r="B493" s="2">
        <f t="shared" si="28"/>
        <v>0</v>
      </c>
      <c r="C493" s="2">
        <f t="shared" si="30"/>
        <v>0</v>
      </c>
      <c r="D493" s="2">
        <f t="shared" si="31"/>
        <v>17.134999999999994</v>
      </c>
    </row>
    <row r="494" spans="1:4" x14ac:dyDescent="0.25">
      <c r="A494">
        <f t="shared" si="29"/>
        <v>9.4799999999998867</v>
      </c>
      <c r="B494" s="2">
        <f t="shared" si="28"/>
        <v>0</v>
      </c>
      <c r="C494" s="2">
        <f t="shared" si="30"/>
        <v>0</v>
      </c>
      <c r="D494" s="2">
        <f t="shared" si="31"/>
        <v>17.134999999999994</v>
      </c>
    </row>
    <row r="495" spans="1:4" x14ac:dyDescent="0.25">
      <c r="A495">
        <f t="shared" si="29"/>
        <v>9.4999999999998863</v>
      </c>
      <c r="B495" s="2">
        <f t="shared" si="28"/>
        <v>0</v>
      </c>
      <c r="C495" s="2">
        <f t="shared" si="30"/>
        <v>0</v>
      </c>
      <c r="D495" s="2">
        <f t="shared" si="31"/>
        <v>17.134999999999994</v>
      </c>
    </row>
    <row r="496" spans="1:4" x14ac:dyDescent="0.25">
      <c r="A496">
        <f t="shared" si="29"/>
        <v>9.5199999999998859</v>
      </c>
      <c r="B496" s="2">
        <f t="shared" si="28"/>
        <v>0</v>
      </c>
      <c r="C496" s="2">
        <f t="shared" si="30"/>
        <v>0</v>
      </c>
      <c r="D496" s="2">
        <f t="shared" si="31"/>
        <v>17.134999999999994</v>
      </c>
    </row>
    <row r="497" spans="1:4" x14ac:dyDescent="0.25">
      <c r="A497">
        <f t="shared" si="29"/>
        <v>9.5399999999998855</v>
      </c>
      <c r="B497" s="2">
        <f t="shared" si="28"/>
        <v>0</v>
      </c>
      <c r="C497" s="2">
        <f t="shared" si="30"/>
        <v>0</v>
      </c>
      <c r="D497" s="2">
        <f t="shared" si="31"/>
        <v>17.134999999999994</v>
      </c>
    </row>
    <row r="498" spans="1:4" x14ac:dyDescent="0.25">
      <c r="A498">
        <f t="shared" si="29"/>
        <v>9.559999999999885</v>
      </c>
      <c r="B498" s="2">
        <f t="shared" si="28"/>
        <v>0</v>
      </c>
      <c r="C498" s="2">
        <f t="shared" si="30"/>
        <v>0</v>
      </c>
      <c r="D498" s="2">
        <f t="shared" si="31"/>
        <v>17.134999999999994</v>
      </c>
    </row>
    <row r="499" spans="1:4" x14ac:dyDescent="0.25">
      <c r="A499">
        <f t="shared" si="29"/>
        <v>9.5799999999998846</v>
      </c>
      <c r="B499" s="2">
        <f t="shared" si="28"/>
        <v>0</v>
      </c>
      <c r="C499" s="2">
        <f t="shared" si="30"/>
        <v>0</v>
      </c>
      <c r="D499" s="2">
        <f t="shared" si="31"/>
        <v>17.134999999999994</v>
      </c>
    </row>
    <row r="500" spans="1:4" x14ac:dyDescent="0.25">
      <c r="A500">
        <f t="shared" si="29"/>
        <v>9.5999999999998842</v>
      </c>
      <c r="B500" s="2">
        <f t="shared" si="28"/>
        <v>0</v>
      </c>
      <c r="C500" s="2">
        <f t="shared" si="30"/>
        <v>0</v>
      </c>
      <c r="D500" s="2">
        <f t="shared" si="31"/>
        <v>17.134999999999994</v>
      </c>
    </row>
    <row r="501" spans="1:4" x14ac:dyDescent="0.25">
      <c r="A501">
        <f t="shared" si="29"/>
        <v>9.6199999999998838</v>
      </c>
      <c r="B501" s="2">
        <f t="shared" si="28"/>
        <v>0</v>
      </c>
      <c r="C501" s="2">
        <f t="shared" si="30"/>
        <v>0</v>
      </c>
      <c r="D501" s="2">
        <f t="shared" si="31"/>
        <v>17.134999999999994</v>
      </c>
    </row>
    <row r="502" spans="1:4" x14ac:dyDescent="0.25">
      <c r="A502">
        <f t="shared" si="29"/>
        <v>9.6399999999998833</v>
      </c>
      <c r="B502" s="2">
        <f t="shared" si="28"/>
        <v>0</v>
      </c>
      <c r="C502" s="2">
        <f t="shared" si="30"/>
        <v>0</v>
      </c>
      <c r="D502" s="2">
        <f t="shared" si="31"/>
        <v>17.134999999999994</v>
      </c>
    </row>
    <row r="503" spans="1:4" x14ac:dyDescent="0.25">
      <c r="A503">
        <f t="shared" si="29"/>
        <v>9.6599999999998829</v>
      </c>
      <c r="B503" s="2">
        <f t="shared" si="28"/>
        <v>0</v>
      </c>
      <c r="C503" s="2">
        <f t="shared" si="30"/>
        <v>0</v>
      </c>
      <c r="D503" s="2">
        <f t="shared" si="31"/>
        <v>17.134999999999994</v>
      </c>
    </row>
    <row r="504" spans="1:4" x14ac:dyDescent="0.25">
      <c r="A504">
        <f t="shared" si="29"/>
        <v>9.6799999999998825</v>
      </c>
      <c r="B504" s="2">
        <f t="shared" si="28"/>
        <v>0</v>
      </c>
      <c r="C504" s="2">
        <f t="shared" si="30"/>
        <v>0</v>
      </c>
      <c r="D504" s="2">
        <f t="shared" si="31"/>
        <v>17.134999999999994</v>
      </c>
    </row>
    <row r="505" spans="1:4" x14ac:dyDescent="0.25">
      <c r="A505">
        <f t="shared" si="29"/>
        <v>9.699999999999882</v>
      </c>
      <c r="B505" s="2">
        <f t="shared" si="28"/>
        <v>0</v>
      </c>
      <c r="C505" s="2">
        <f t="shared" si="30"/>
        <v>0</v>
      </c>
      <c r="D505" s="2">
        <f t="shared" si="31"/>
        <v>17.134999999999994</v>
      </c>
    </row>
    <row r="506" spans="1:4" x14ac:dyDescent="0.25">
      <c r="A506">
        <f t="shared" si="29"/>
        <v>9.7199999999998816</v>
      </c>
      <c r="B506" s="2">
        <f t="shared" si="28"/>
        <v>0</v>
      </c>
      <c r="C506" s="2">
        <f t="shared" si="30"/>
        <v>0</v>
      </c>
      <c r="D506" s="2">
        <f t="shared" si="31"/>
        <v>17.134999999999994</v>
      </c>
    </row>
    <row r="507" spans="1:4" x14ac:dyDescent="0.25">
      <c r="A507">
        <f t="shared" si="29"/>
        <v>9.7399999999998812</v>
      </c>
      <c r="B507" s="2">
        <f t="shared" si="28"/>
        <v>0</v>
      </c>
      <c r="C507" s="2">
        <f t="shared" si="30"/>
        <v>0</v>
      </c>
      <c r="D507" s="2">
        <f t="shared" si="31"/>
        <v>17.134999999999994</v>
      </c>
    </row>
    <row r="508" spans="1:4" x14ac:dyDescent="0.25">
      <c r="A508">
        <f t="shared" si="29"/>
        <v>9.7599999999998808</v>
      </c>
      <c r="B508" s="2">
        <f t="shared" si="28"/>
        <v>0</v>
      </c>
      <c r="C508" s="2">
        <f t="shared" si="30"/>
        <v>0</v>
      </c>
      <c r="D508" s="2">
        <f t="shared" si="31"/>
        <v>17.134999999999994</v>
      </c>
    </row>
    <row r="509" spans="1:4" x14ac:dyDescent="0.25">
      <c r="A509">
        <f t="shared" si="29"/>
        <v>9.7799999999998803</v>
      </c>
      <c r="B509" s="2">
        <f t="shared" si="28"/>
        <v>0</v>
      </c>
      <c r="C509" s="2">
        <f t="shared" si="30"/>
        <v>0</v>
      </c>
      <c r="D509" s="2">
        <f t="shared" si="31"/>
        <v>17.134999999999994</v>
      </c>
    </row>
    <row r="510" spans="1:4" x14ac:dyDescent="0.25">
      <c r="A510">
        <f t="shared" si="29"/>
        <v>9.7999999999998799</v>
      </c>
      <c r="B510" s="2">
        <f t="shared" si="28"/>
        <v>0</v>
      </c>
      <c r="C510" s="2">
        <f t="shared" si="30"/>
        <v>0</v>
      </c>
      <c r="D510" s="2">
        <f t="shared" si="31"/>
        <v>17.134999999999994</v>
      </c>
    </row>
    <row r="511" spans="1:4" x14ac:dyDescent="0.25">
      <c r="A511">
        <f t="shared" si="29"/>
        <v>9.8199999999998795</v>
      </c>
      <c r="B511" s="2">
        <f t="shared" si="28"/>
        <v>0</v>
      </c>
      <c r="C511" s="2">
        <f t="shared" si="30"/>
        <v>0</v>
      </c>
      <c r="D511" s="2">
        <f t="shared" si="31"/>
        <v>17.134999999999994</v>
      </c>
    </row>
    <row r="512" spans="1:4" x14ac:dyDescent="0.25">
      <c r="A512">
        <f t="shared" si="29"/>
        <v>9.8399999999998791</v>
      </c>
      <c r="B512" s="2">
        <f t="shared" si="28"/>
        <v>0</v>
      </c>
      <c r="C512" s="2">
        <f t="shared" si="30"/>
        <v>0</v>
      </c>
      <c r="D512" s="2">
        <f t="shared" si="31"/>
        <v>17.134999999999994</v>
      </c>
    </row>
    <row r="513" spans="1:4" x14ac:dyDescent="0.25">
      <c r="A513">
        <f t="shared" si="29"/>
        <v>9.8599999999998786</v>
      </c>
      <c r="B513" s="2">
        <f t="shared" si="28"/>
        <v>0</v>
      </c>
      <c r="C513" s="2">
        <f t="shared" si="30"/>
        <v>0</v>
      </c>
      <c r="D513" s="2">
        <f t="shared" si="31"/>
        <v>17.134999999999994</v>
      </c>
    </row>
    <row r="514" spans="1:4" x14ac:dyDescent="0.25">
      <c r="A514">
        <f t="shared" si="29"/>
        <v>9.8799999999998782</v>
      </c>
      <c r="B514" s="2">
        <f t="shared" si="28"/>
        <v>0</v>
      </c>
      <c r="C514" s="2">
        <f t="shared" si="30"/>
        <v>0</v>
      </c>
      <c r="D514" s="2">
        <f t="shared" si="31"/>
        <v>17.134999999999994</v>
      </c>
    </row>
    <row r="515" spans="1:4" x14ac:dyDescent="0.25">
      <c r="A515">
        <f t="shared" si="29"/>
        <v>9.8999999999998778</v>
      </c>
      <c r="B515" s="2">
        <f t="shared" si="28"/>
        <v>0</v>
      </c>
      <c r="C515" s="2">
        <f t="shared" si="30"/>
        <v>0</v>
      </c>
      <c r="D515" s="2">
        <f t="shared" si="31"/>
        <v>17.134999999999994</v>
      </c>
    </row>
    <row r="516" spans="1:4" x14ac:dyDescent="0.25">
      <c r="A516">
        <f t="shared" si="29"/>
        <v>9.9199999999998774</v>
      </c>
      <c r="B516" s="2">
        <f t="shared" si="28"/>
        <v>0</v>
      </c>
      <c r="C516" s="2">
        <f t="shared" si="30"/>
        <v>0</v>
      </c>
      <c r="D516" s="2">
        <f t="shared" si="31"/>
        <v>17.134999999999994</v>
      </c>
    </row>
    <row r="517" spans="1:4" x14ac:dyDescent="0.25">
      <c r="A517">
        <f t="shared" si="29"/>
        <v>9.9399999999998769</v>
      </c>
      <c r="B517" s="2">
        <f t="shared" si="28"/>
        <v>0</v>
      </c>
      <c r="C517" s="2">
        <f t="shared" si="30"/>
        <v>0</v>
      </c>
      <c r="D517" s="2">
        <f t="shared" si="31"/>
        <v>17.134999999999994</v>
      </c>
    </row>
    <row r="518" spans="1:4" x14ac:dyDescent="0.25">
      <c r="A518">
        <f t="shared" si="29"/>
        <v>9.9599999999998765</v>
      </c>
      <c r="B518" s="2">
        <f t="shared" si="28"/>
        <v>0</v>
      </c>
      <c r="C518" s="2">
        <f t="shared" si="30"/>
        <v>0</v>
      </c>
      <c r="D518" s="2">
        <f t="shared" si="31"/>
        <v>17.134999999999994</v>
      </c>
    </row>
    <row r="519" spans="1:4" x14ac:dyDescent="0.25">
      <c r="A519">
        <f t="shared" si="29"/>
        <v>9.9799999999998761</v>
      </c>
      <c r="B519" s="2">
        <f t="shared" si="28"/>
        <v>0</v>
      </c>
      <c r="C519" s="2">
        <f t="shared" si="30"/>
        <v>0</v>
      </c>
      <c r="D519" s="2">
        <f t="shared" si="31"/>
        <v>17.134999999999994</v>
      </c>
    </row>
    <row r="520" spans="1:4" x14ac:dyDescent="0.25">
      <c r="A520">
        <f t="shared" si="29"/>
        <v>9.9999999999998757</v>
      </c>
      <c r="B520" s="2">
        <f t="shared" si="28"/>
        <v>0</v>
      </c>
      <c r="C520" s="2">
        <f t="shared" si="30"/>
        <v>0</v>
      </c>
      <c r="D520" s="2">
        <f t="shared" si="31"/>
        <v>17.134999999999994</v>
      </c>
    </row>
    <row r="521" spans="1:4" x14ac:dyDescent="0.25">
      <c r="A521">
        <f t="shared" si="29"/>
        <v>10.019999999999875</v>
      </c>
      <c r="B521" s="2">
        <f t="shared" si="28"/>
        <v>0</v>
      </c>
      <c r="C521" s="2">
        <f t="shared" si="30"/>
        <v>0</v>
      </c>
      <c r="D521" s="2">
        <f t="shared" si="31"/>
        <v>17.134999999999994</v>
      </c>
    </row>
    <row r="522" spans="1:4" x14ac:dyDescent="0.25">
      <c r="A522">
        <f t="shared" si="29"/>
        <v>10.039999999999875</v>
      </c>
      <c r="B522" s="2">
        <f t="shared" si="28"/>
        <v>0</v>
      </c>
      <c r="C522" s="2">
        <f t="shared" si="30"/>
        <v>0</v>
      </c>
      <c r="D522" s="2">
        <f t="shared" si="31"/>
        <v>17.134999999999994</v>
      </c>
    </row>
    <row r="523" spans="1:4" x14ac:dyDescent="0.25">
      <c r="A523">
        <f t="shared" si="29"/>
        <v>10.059999999999874</v>
      </c>
      <c r="B523" s="2">
        <f t="shared" si="28"/>
        <v>0</v>
      </c>
      <c r="C523" s="2">
        <f t="shared" si="30"/>
        <v>0</v>
      </c>
      <c r="D523" s="2">
        <f t="shared" si="31"/>
        <v>17.134999999999994</v>
      </c>
    </row>
    <row r="524" spans="1:4" x14ac:dyDescent="0.25">
      <c r="A524">
        <f t="shared" si="29"/>
        <v>10.079999999999874</v>
      </c>
      <c r="B524" s="2">
        <f t="shared" si="28"/>
        <v>0</v>
      </c>
      <c r="C524" s="2">
        <f t="shared" si="30"/>
        <v>0</v>
      </c>
      <c r="D524" s="2">
        <f t="shared" si="31"/>
        <v>17.134999999999994</v>
      </c>
    </row>
    <row r="525" spans="1:4" x14ac:dyDescent="0.25">
      <c r="A525">
        <f t="shared" si="29"/>
        <v>10.099999999999874</v>
      </c>
      <c r="B525" s="2">
        <f t="shared" si="28"/>
        <v>0</v>
      </c>
      <c r="C525" s="2">
        <f t="shared" si="30"/>
        <v>0</v>
      </c>
      <c r="D525" s="2">
        <f t="shared" si="31"/>
        <v>17.134999999999994</v>
      </c>
    </row>
    <row r="526" spans="1:4" x14ac:dyDescent="0.25">
      <c r="A526">
        <f t="shared" si="29"/>
        <v>10.119999999999873</v>
      </c>
      <c r="B526" s="2">
        <f t="shared" si="28"/>
        <v>0</v>
      </c>
      <c r="C526" s="2">
        <f t="shared" si="30"/>
        <v>0</v>
      </c>
      <c r="D526" s="2">
        <f t="shared" si="31"/>
        <v>17.134999999999994</v>
      </c>
    </row>
    <row r="527" spans="1:4" x14ac:dyDescent="0.25">
      <c r="A527">
        <f t="shared" si="29"/>
        <v>10.139999999999873</v>
      </c>
      <c r="B527" s="2">
        <f t="shared" si="28"/>
        <v>0</v>
      </c>
      <c r="C527" s="2">
        <f t="shared" si="30"/>
        <v>0</v>
      </c>
      <c r="D527" s="2">
        <f t="shared" si="31"/>
        <v>17.134999999999994</v>
      </c>
    </row>
    <row r="528" spans="1:4" x14ac:dyDescent="0.25">
      <c r="A528">
        <f t="shared" si="29"/>
        <v>10.159999999999872</v>
      </c>
      <c r="B528" s="2">
        <f t="shared" si="28"/>
        <v>0</v>
      </c>
      <c r="C528" s="2">
        <f t="shared" si="30"/>
        <v>0</v>
      </c>
      <c r="D528" s="2">
        <f t="shared" si="31"/>
        <v>17.134999999999994</v>
      </c>
    </row>
    <row r="529" spans="1:4" x14ac:dyDescent="0.25">
      <c r="A529">
        <f t="shared" si="29"/>
        <v>10.179999999999872</v>
      </c>
      <c r="B529" s="2">
        <f t="shared" si="28"/>
        <v>0</v>
      </c>
      <c r="C529" s="2">
        <f t="shared" si="30"/>
        <v>0</v>
      </c>
      <c r="D529" s="2">
        <f t="shared" si="31"/>
        <v>17.134999999999994</v>
      </c>
    </row>
    <row r="530" spans="1:4" x14ac:dyDescent="0.25">
      <c r="A530">
        <f t="shared" si="29"/>
        <v>10.199999999999871</v>
      </c>
      <c r="B530" s="2">
        <f t="shared" si="28"/>
        <v>0</v>
      </c>
      <c r="C530" s="2">
        <f t="shared" si="30"/>
        <v>0</v>
      </c>
      <c r="D530" s="2">
        <f t="shared" si="31"/>
        <v>17.134999999999994</v>
      </c>
    </row>
    <row r="531" spans="1:4" x14ac:dyDescent="0.25">
      <c r="A531">
        <f t="shared" si="29"/>
        <v>10.219999999999871</v>
      </c>
      <c r="B531" s="2">
        <f t="shared" si="28"/>
        <v>0</v>
      </c>
      <c r="C531" s="2">
        <f t="shared" si="30"/>
        <v>0</v>
      </c>
      <c r="D531" s="2">
        <f t="shared" si="31"/>
        <v>17.134999999999994</v>
      </c>
    </row>
    <row r="532" spans="1:4" x14ac:dyDescent="0.25">
      <c r="A532">
        <f t="shared" si="29"/>
        <v>10.239999999999871</v>
      </c>
      <c r="B532" s="2">
        <f t="shared" si="28"/>
        <v>0</v>
      </c>
      <c r="C532" s="2">
        <f t="shared" si="30"/>
        <v>0</v>
      </c>
      <c r="D532" s="2">
        <f t="shared" si="31"/>
        <v>17.134999999999994</v>
      </c>
    </row>
    <row r="533" spans="1:4" x14ac:dyDescent="0.25">
      <c r="A533">
        <f t="shared" si="29"/>
        <v>10.25999999999987</v>
      </c>
      <c r="B533" s="2">
        <f t="shared" ref="B533:B596" si="32">MAX(0,IF(A533&lt;$B$14,B532+$B$8,IF(AND(A533&gt;=$B$14,A533&lt;=$B$15),$B$11/$B$2,B532-$B$8)))</f>
        <v>0</v>
      </c>
      <c r="C533" s="2">
        <f t="shared" si="30"/>
        <v>0</v>
      </c>
      <c r="D533" s="2">
        <f t="shared" si="31"/>
        <v>17.134999999999994</v>
      </c>
    </row>
    <row r="534" spans="1:4" x14ac:dyDescent="0.25">
      <c r="A534">
        <f t="shared" ref="A534:A597" si="33">A533+$B$1</f>
        <v>10.27999999999987</v>
      </c>
      <c r="B534" s="2">
        <f t="shared" si="32"/>
        <v>0</v>
      </c>
      <c r="C534" s="2">
        <f t="shared" ref="C534:C597" si="34">B534*$B$2</f>
        <v>0</v>
      </c>
      <c r="D534" s="2">
        <f t="shared" ref="D534:D597" si="35">D533+C533*$B$1</f>
        <v>17.134999999999994</v>
      </c>
    </row>
    <row r="535" spans="1:4" x14ac:dyDescent="0.25">
      <c r="A535">
        <f t="shared" si="33"/>
        <v>10.299999999999869</v>
      </c>
      <c r="B535" s="2">
        <f t="shared" si="32"/>
        <v>0</v>
      </c>
      <c r="C535" s="2">
        <f t="shared" si="34"/>
        <v>0</v>
      </c>
      <c r="D535" s="2">
        <f t="shared" si="35"/>
        <v>17.134999999999994</v>
      </c>
    </row>
    <row r="536" spans="1:4" x14ac:dyDescent="0.25">
      <c r="A536">
        <f t="shared" si="33"/>
        <v>10.319999999999869</v>
      </c>
      <c r="B536" s="2">
        <f t="shared" si="32"/>
        <v>0</v>
      </c>
      <c r="C536" s="2">
        <f t="shared" si="34"/>
        <v>0</v>
      </c>
      <c r="D536" s="2">
        <f t="shared" si="35"/>
        <v>17.134999999999994</v>
      </c>
    </row>
    <row r="537" spans="1:4" x14ac:dyDescent="0.25">
      <c r="A537">
        <f t="shared" si="33"/>
        <v>10.339999999999868</v>
      </c>
      <c r="B537" s="2">
        <f t="shared" si="32"/>
        <v>0</v>
      </c>
      <c r="C537" s="2">
        <f t="shared" si="34"/>
        <v>0</v>
      </c>
      <c r="D537" s="2">
        <f t="shared" si="35"/>
        <v>17.134999999999994</v>
      </c>
    </row>
    <row r="538" spans="1:4" x14ac:dyDescent="0.25">
      <c r="A538">
        <f t="shared" si="33"/>
        <v>10.359999999999868</v>
      </c>
      <c r="B538" s="2">
        <f t="shared" si="32"/>
        <v>0</v>
      </c>
      <c r="C538" s="2">
        <f t="shared" si="34"/>
        <v>0</v>
      </c>
      <c r="D538" s="2">
        <f t="shared" si="35"/>
        <v>17.134999999999994</v>
      </c>
    </row>
    <row r="539" spans="1:4" x14ac:dyDescent="0.25">
      <c r="A539">
        <f t="shared" si="33"/>
        <v>10.379999999999868</v>
      </c>
      <c r="B539" s="2">
        <f t="shared" si="32"/>
        <v>0</v>
      </c>
      <c r="C539" s="2">
        <f t="shared" si="34"/>
        <v>0</v>
      </c>
      <c r="D539" s="2">
        <f t="shared" si="35"/>
        <v>17.134999999999994</v>
      </c>
    </row>
    <row r="540" spans="1:4" x14ac:dyDescent="0.25">
      <c r="A540">
        <f t="shared" si="33"/>
        <v>10.399999999999867</v>
      </c>
      <c r="B540" s="2">
        <f t="shared" si="32"/>
        <v>0</v>
      </c>
      <c r="C540" s="2">
        <f t="shared" si="34"/>
        <v>0</v>
      </c>
      <c r="D540" s="2">
        <f t="shared" si="35"/>
        <v>17.134999999999994</v>
      </c>
    </row>
    <row r="541" spans="1:4" x14ac:dyDescent="0.25">
      <c r="A541">
        <f t="shared" si="33"/>
        <v>10.419999999999867</v>
      </c>
      <c r="B541" s="2">
        <f t="shared" si="32"/>
        <v>0</v>
      </c>
      <c r="C541" s="2">
        <f t="shared" si="34"/>
        <v>0</v>
      </c>
      <c r="D541" s="2">
        <f t="shared" si="35"/>
        <v>17.134999999999994</v>
      </c>
    </row>
    <row r="542" spans="1:4" x14ac:dyDescent="0.25">
      <c r="A542">
        <f t="shared" si="33"/>
        <v>10.439999999999866</v>
      </c>
      <c r="B542" s="2">
        <f t="shared" si="32"/>
        <v>0</v>
      </c>
      <c r="C542" s="2">
        <f t="shared" si="34"/>
        <v>0</v>
      </c>
      <c r="D542" s="2">
        <f t="shared" si="35"/>
        <v>17.134999999999994</v>
      </c>
    </row>
    <row r="543" spans="1:4" x14ac:dyDescent="0.25">
      <c r="A543">
        <f t="shared" si="33"/>
        <v>10.459999999999866</v>
      </c>
      <c r="B543" s="2">
        <f t="shared" si="32"/>
        <v>0</v>
      </c>
      <c r="C543" s="2">
        <f t="shared" si="34"/>
        <v>0</v>
      </c>
      <c r="D543" s="2">
        <f t="shared" si="35"/>
        <v>17.134999999999994</v>
      </c>
    </row>
    <row r="544" spans="1:4" x14ac:dyDescent="0.25">
      <c r="A544">
        <f t="shared" si="33"/>
        <v>10.479999999999865</v>
      </c>
      <c r="B544" s="2">
        <f t="shared" si="32"/>
        <v>0</v>
      </c>
      <c r="C544" s="2">
        <f t="shared" si="34"/>
        <v>0</v>
      </c>
      <c r="D544" s="2">
        <f t="shared" si="35"/>
        <v>17.134999999999994</v>
      </c>
    </row>
    <row r="545" spans="1:4" x14ac:dyDescent="0.25">
      <c r="A545">
        <f t="shared" si="33"/>
        <v>10.499999999999865</v>
      </c>
      <c r="B545" s="2">
        <f t="shared" si="32"/>
        <v>0</v>
      </c>
      <c r="C545" s="2">
        <f t="shared" si="34"/>
        <v>0</v>
      </c>
      <c r="D545" s="2">
        <f t="shared" si="35"/>
        <v>17.134999999999994</v>
      </c>
    </row>
    <row r="546" spans="1:4" x14ac:dyDescent="0.25">
      <c r="A546">
        <f t="shared" si="33"/>
        <v>10.519999999999865</v>
      </c>
      <c r="B546" s="2">
        <f t="shared" si="32"/>
        <v>0</v>
      </c>
      <c r="C546" s="2">
        <f t="shared" si="34"/>
        <v>0</v>
      </c>
      <c r="D546" s="2">
        <f t="shared" si="35"/>
        <v>17.134999999999994</v>
      </c>
    </row>
    <row r="547" spans="1:4" x14ac:dyDescent="0.25">
      <c r="A547">
        <f t="shared" si="33"/>
        <v>10.539999999999864</v>
      </c>
      <c r="B547" s="2">
        <f t="shared" si="32"/>
        <v>0</v>
      </c>
      <c r="C547" s="2">
        <f t="shared" si="34"/>
        <v>0</v>
      </c>
      <c r="D547" s="2">
        <f t="shared" si="35"/>
        <v>17.134999999999994</v>
      </c>
    </row>
    <row r="548" spans="1:4" x14ac:dyDescent="0.25">
      <c r="A548">
        <f t="shared" si="33"/>
        <v>10.559999999999864</v>
      </c>
      <c r="B548" s="2">
        <f t="shared" si="32"/>
        <v>0</v>
      </c>
      <c r="C548" s="2">
        <f t="shared" si="34"/>
        <v>0</v>
      </c>
      <c r="D548" s="2">
        <f t="shared" si="35"/>
        <v>17.134999999999994</v>
      </c>
    </row>
    <row r="549" spans="1:4" x14ac:dyDescent="0.25">
      <c r="A549">
        <f t="shared" si="33"/>
        <v>10.579999999999863</v>
      </c>
      <c r="B549" s="2">
        <f t="shared" si="32"/>
        <v>0</v>
      </c>
      <c r="C549" s="2">
        <f t="shared" si="34"/>
        <v>0</v>
      </c>
      <c r="D549" s="2">
        <f t="shared" si="35"/>
        <v>17.134999999999994</v>
      </c>
    </row>
    <row r="550" spans="1:4" x14ac:dyDescent="0.25">
      <c r="A550">
        <f t="shared" si="33"/>
        <v>10.599999999999863</v>
      </c>
      <c r="B550" s="2">
        <f t="shared" si="32"/>
        <v>0</v>
      </c>
      <c r="C550" s="2">
        <f t="shared" si="34"/>
        <v>0</v>
      </c>
      <c r="D550" s="2">
        <f t="shared" si="35"/>
        <v>17.134999999999994</v>
      </c>
    </row>
    <row r="551" spans="1:4" x14ac:dyDescent="0.25">
      <c r="A551">
        <f t="shared" si="33"/>
        <v>10.619999999999862</v>
      </c>
      <c r="B551" s="2">
        <f t="shared" si="32"/>
        <v>0</v>
      </c>
      <c r="C551" s="2">
        <f t="shared" si="34"/>
        <v>0</v>
      </c>
      <c r="D551" s="2">
        <f t="shared" si="35"/>
        <v>17.134999999999994</v>
      </c>
    </row>
    <row r="552" spans="1:4" x14ac:dyDescent="0.25">
      <c r="A552">
        <f t="shared" si="33"/>
        <v>10.639999999999862</v>
      </c>
      <c r="B552" s="2">
        <f t="shared" si="32"/>
        <v>0</v>
      </c>
      <c r="C552" s="2">
        <f t="shared" si="34"/>
        <v>0</v>
      </c>
      <c r="D552" s="2">
        <f t="shared" si="35"/>
        <v>17.134999999999994</v>
      </c>
    </row>
    <row r="553" spans="1:4" x14ac:dyDescent="0.25">
      <c r="A553">
        <f t="shared" si="33"/>
        <v>10.659999999999862</v>
      </c>
      <c r="B553" s="2">
        <f t="shared" si="32"/>
        <v>0</v>
      </c>
      <c r="C553" s="2">
        <f t="shared" si="34"/>
        <v>0</v>
      </c>
      <c r="D553" s="2">
        <f t="shared" si="35"/>
        <v>17.134999999999994</v>
      </c>
    </row>
    <row r="554" spans="1:4" x14ac:dyDescent="0.25">
      <c r="A554">
        <f t="shared" si="33"/>
        <v>10.679999999999861</v>
      </c>
      <c r="B554" s="2">
        <f t="shared" si="32"/>
        <v>0</v>
      </c>
      <c r="C554" s="2">
        <f t="shared" si="34"/>
        <v>0</v>
      </c>
      <c r="D554" s="2">
        <f t="shared" si="35"/>
        <v>17.134999999999994</v>
      </c>
    </row>
    <row r="555" spans="1:4" x14ac:dyDescent="0.25">
      <c r="A555">
        <f t="shared" si="33"/>
        <v>10.699999999999861</v>
      </c>
      <c r="B555" s="2">
        <f t="shared" si="32"/>
        <v>0</v>
      </c>
      <c r="C555" s="2">
        <f t="shared" si="34"/>
        <v>0</v>
      </c>
      <c r="D555" s="2">
        <f t="shared" si="35"/>
        <v>17.134999999999994</v>
      </c>
    </row>
    <row r="556" spans="1:4" x14ac:dyDescent="0.25">
      <c r="A556">
        <f t="shared" si="33"/>
        <v>10.71999999999986</v>
      </c>
      <c r="B556" s="2">
        <f t="shared" si="32"/>
        <v>0</v>
      </c>
      <c r="C556" s="2">
        <f t="shared" si="34"/>
        <v>0</v>
      </c>
      <c r="D556" s="2">
        <f t="shared" si="35"/>
        <v>17.134999999999994</v>
      </c>
    </row>
    <row r="557" spans="1:4" x14ac:dyDescent="0.25">
      <c r="A557">
        <f t="shared" si="33"/>
        <v>10.73999999999986</v>
      </c>
      <c r="B557" s="2">
        <f t="shared" si="32"/>
        <v>0</v>
      </c>
      <c r="C557" s="2">
        <f t="shared" si="34"/>
        <v>0</v>
      </c>
      <c r="D557" s="2">
        <f t="shared" si="35"/>
        <v>17.134999999999994</v>
      </c>
    </row>
    <row r="558" spans="1:4" x14ac:dyDescent="0.25">
      <c r="A558">
        <f t="shared" si="33"/>
        <v>10.759999999999859</v>
      </c>
      <c r="B558" s="2">
        <f t="shared" si="32"/>
        <v>0</v>
      </c>
      <c r="C558" s="2">
        <f t="shared" si="34"/>
        <v>0</v>
      </c>
      <c r="D558" s="2">
        <f t="shared" si="35"/>
        <v>17.134999999999994</v>
      </c>
    </row>
    <row r="559" spans="1:4" x14ac:dyDescent="0.25">
      <c r="A559">
        <f t="shared" si="33"/>
        <v>10.779999999999859</v>
      </c>
      <c r="B559" s="2">
        <f t="shared" si="32"/>
        <v>0</v>
      </c>
      <c r="C559" s="2">
        <f t="shared" si="34"/>
        <v>0</v>
      </c>
      <c r="D559" s="2">
        <f t="shared" si="35"/>
        <v>17.134999999999994</v>
      </c>
    </row>
    <row r="560" spans="1:4" x14ac:dyDescent="0.25">
      <c r="A560">
        <f t="shared" si="33"/>
        <v>10.799999999999859</v>
      </c>
      <c r="B560" s="2">
        <f t="shared" si="32"/>
        <v>0</v>
      </c>
      <c r="C560" s="2">
        <f t="shared" si="34"/>
        <v>0</v>
      </c>
      <c r="D560" s="2">
        <f t="shared" si="35"/>
        <v>17.134999999999994</v>
      </c>
    </row>
    <row r="561" spans="1:4" x14ac:dyDescent="0.25">
      <c r="A561">
        <f t="shared" si="33"/>
        <v>10.819999999999858</v>
      </c>
      <c r="B561" s="2">
        <f t="shared" si="32"/>
        <v>0</v>
      </c>
      <c r="C561" s="2">
        <f t="shared" si="34"/>
        <v>0</v>
      </c>
      <c r="D561" s="2">
        <f t="shared" si="35"/>
        <v>17.134999999999994</v>
      </c>
    </row>
    <row r="562" spans="1:4" x14ac:dyDescent="0.25">
      <c r="A562">
        <f t="shared" si="33"/>
        <v>10.839999999999858</v>
      </c>
      <c r="B562" s="2">
        <f t="shared" si="32"/>
        <v>0</v>
      </c>
      <c r="C562" s="2">
        <f t="shared" si="34"/>
        <v>0</v>
      </c>
      <c r="D562" s="2">
        <f t="shared" si="35"/>
        <v>17.134999999999994</v>
      </c>
    </row>
    <row r="563" spans="1:4" x14ac:dyDescent="0.25">
      <c r="A563">
        <f t="shared" si="33"/>
        <v>10.859999999999857</v>
      </c>
      <c r="B563" s="2">
        <f t="shared" si="32"/>
        <v>0</v>
      </c>
      <c r="C563" s="2">
        <f t="shared" si="34"/>
        <v>0</v>
      </c>
      <c r="D563" s="2">
        <f t="shared" si="35"/>
        <v>17.134999999999994</v>
      </c>
    </row>
    <row r="564" spans="1:4" x14ac:dyDescent="0.25">
      <c r="A564">
        <f t="shared" si="33"/>
        <v>10.879999999999857</v>
      </c>
      <c r="B564" s="2">
        <f t="shared" si="32"/>
        <v>0</v>
      </c>
      <c r="C564" s="2">
        <f t="shared" si="34"/>
        <v>0</v>
      </c>
      <c r="D564" s="2">
        <f t="shared" si="35"/>
        <v>17.134999999999994</v>
      </c>
    </row>
    <row r="565" spans="1:4" x14ac:dyDescent="0.25">
      <c r="A565">
        <f t="shared" si="33"/>
        <v>10.899999999999856</v>
      </c>
      <c r="B565" s="2">
        <f t="shared" si="32"/>
        <v>0</v>
      </c>
      <c r="C565" s="2">
        <f t="shared" si="34"/>
        <v>0</v>
      </c>
      <c r="D565" s="2">
        <f t="shared" si="35"/>
        <v>17.134999999999994</v>
      </c>
    </row>
    <row r="566" spans="1:4" x14ac:dyDescent="0.25">
      <c r="A566">
        <f t="shared" si="33"/>
        <v>10.919999999999856</v>
      </c>
      <c r="B566" s="2">
        <f t="shared" si="32"/>
        <v>0</v>
      </c>
      <c r="C566" s="2">
        <f t="shared" si="34"/>
        <v>0</v>
      </c>
      <c r="D566" s="2">
        <f t="shared" si="35"/>
        <v>17.134999999999994</v>
      </c>
    </row>
    <row r="567" spans="1:4" x14ac:dyDescent="0.25">
      <c r="A567">
        <f t="shared" si="33"/>
        <v>10.939999999999856</v>
      </c>
      <c r="B567" s="2">
        <f t="shared" si="32"/>
        <v>0</v>
      </c>
      <c r="C567" s="2">
        <f t="shared" si="34"/>
        <v>0</v>
      </c>
      <c r="D567" s="2">
        <f t="shared" si="35"/>
        <v>17.134999999999994</v>
      </c>
    </row>
    <row r="568" spans="1:4" x14ac:dyDescent="0.25">
      <c r="A568">
        <f t="shared" si="33"/>
        <v>10.959999999999855</v>
      </c>
      <c r="B568" s="2">
        <f t="shared" si="32"/>
        <v>0</v>
      </c>
      <c r="C568" s="2">
        <f t="shared" si="34"/>
        <v>0</v>
      </c>
      <c r="D568" s="2">
        <f t="shared" si="35"/>
        <v>17.134999999999994</v>
      </c>
    </row>
    <row r="569" spans="1:4" x14ac:dyDescent="0.25">
      <c r="A569">
        <f t="shared" si="33"/>
        <v>10.979999999999855</v>
      </c>
      <c r="B569" s="2">
        <f t="shared" si="32"/>
        <v>0</v>
      </c>
      <c r="C569" s="2">
        <f t="shared" si="34"/>
        <v>0</v>
      </c>
      <c r="D569" s="2">
        <f t="shared" si="35"/>
        <v>17.134999999999994</v>
      </c>
    </row>
    <row r="570" spans="1:4" x14ac:dyDescent="0.25">
      <c r="A570">
        <f t="shared" si="33"/>
        <v>10.999999999999854</v>
      </c>
      <c r="B570" s="2">
        <f t="shared" si="32"/>
        <v>0</v>
      </c>
      <c r="C570" s="2">
        <f t="shared" si="34"/>
        <v>0</v>
      </c>
      <c r="D570" s="2">
        <f t="shared" si="35"/>
        <v>17.134999999999994</v>
      </c>
    </row>
    <row r="571" spans="1:4" x14ac:dyDescent="0.25">
      <c r="A571">
        <f t="shared" si="33"/>
        <v>11.019999999999854</v>
      </c>
      <c r="B571" s="2">
        <f t="shared" si="32"/>
        <v>0</v>
      </c>
      <c r="C571" s="2">
        <f t="shared" si="34"/>
        <v>0</v>
      </c>
      <c r="D571" s="2">
        <f t="shared" si="35"/>
        <v>17.134999999999994</v>
      </c>
    </row>
    <row r="572" spans="1:4" x14ac:dyDescent="0.25">
      <c r="A572">
        <f t="shared" si="33"/>
        <v>11.039999999999853</v>
      </c>
      <c r="B572" s="2">
        <f t="shared" si="32"/>
        <v>0</v>
      </c>
      <c r="C572" s="2">
        <f t="shared" si="34"/>
        <v>0</v>
      </c>
      <c r="D572" s="2">
        <f t="shared" si="35"/>
        <v>17.134999999999994</v>
      </c>
    </row>
    <row r="573" spans="1:4" x14ac:dyDescent="0.25">
      <c r="A573">
        <f t="shared" si="33"/>
        <v>11.059999999999853</v>
      </c>
      <c r="B573" s="2">
        <f t="shared" si="32"/>
        <v>0</v>
      </c>
      <c r="C573" s="2">
        <f t="shared" si="34"/>
        <v>0</v>
      </c>
      <c r="D573" s="2">
        <f t="shared" si="35"/>
        <v>17.134999999999994</v>
      </c>
    </row>
    <row r="574" spans="1:4" x14ac:dyDescent="0.25">
      <c r="A574">
        <f t="shared" si="33"/>
        <v>11.079999999999853</v>
      </c>
      <c r="B574" s="2">
        <f t="shared" si="32"/>
        <v>0</v>
      </c>
      <c r="C574" s="2">
        <f t="shared" si="34"/>
        <v>0</v>
      </c>
      <c r="D574" s="2">
        <f t="shared" si="35"/>
        <v>17.134999999999994</v>
      </c>
    </row>
    <row r="575" spans="1:4" x14ac:dyDescent="0.25">
      <c r="A575">
        <f t="shared" si="33"/>
        <v>11.099999999999852</v>
      </c>
      <c r="B575" s="2">
        <f t="shared" si="32"/>
        <v>0</v>
      </c>
      <c r="C575" s="2">
        <f t="shared" si="34"/>
        <v>0</v>
      </c>
      <c r="D575" s="2">
        <f t="shared" si="35"/>
        <v>17.134999999999994</v>
      </c>
    </row>
    <row r="576" spans="1:4" x14ac:dyDescent="0.25">
      <c r="A576">
        <f t="shared" si="33"/>
        <v>11.119999999999852</v>
      </c>
      <c r="B576" s="2">
        <f t="shared" si="32"/>
        <v>0</v>
      </c>
      <c r="C576" s="2">
        <f t="shared" si="34"/>
        <v>0</v>
      </c>
      <c r="D576" s="2">
        <f t="shared" si="35"/>
        <v>17.134999999999994</v>
      </c>
    </row>
    <row r="577" spans="1:4" x14ac:dyDescent="0.25">
      <c r="A577">
        <f t="shared" si="33"/>
        <v>11.139999999999851</v>
      </c>
      <c r="B577" s="2">
        <f t="shared" si="32"/>
        <v>0</v>
      </c>
      <c r="C577" s="2">
        <f t="shared" si="34"/>
        <v>0</v>
      </c>
      <c r="D577" s="2">
        <f t="shared" si="35"/>
        <v>17.134999999999994</v>
      </c>
    </row>
    <row r="578" spans="1:4" x14ac:dyDescent="0.25">
      <c r="A578">
        <f t="shared" si="33"/>
        <v>11.159999999999851</v>
      </c>
      <c r="B578" s="2">
        <f t="shared" si="32"/>
        <v>0</v>
      </c>
      <c r="C578" s="2">
        <f t="shared" si="34"/>
        <v>0</v>
      </c>
      <c r="D578" s="2">
        <f t="shared" si="35"/>
        <v>17.134999999999994</v>
      </c>
    </row>
    <row r="579" spans="1:4" x14ac:dyDescent="0.25">
      <c r="A579">
        <f t="shared" si="33"/>
        <v>11.179999999999851</v>
      </c>
      <c r="B579" s="2">
        <f t="shared" si="32"/>
        <v>0</v>
      </c>
      <c r="C579" s="2">
        <f t="shared" si="34"/>
        <v>0</v>
      </c>
      <c r="D579" s="2">
        <f t="shared" si="35"/>
        <v>17.134999999999994</v>
      </c>
    </row>
    <row r="580" spans="1:4" x14ac:dyDescent="0.25">
      <c r="A580">
        <f t="shared" si="33"/>
        <v>11.19999999999985</v>
      </c>
      <c r="B580" s="2">
        <f t="shared" si="32"/>
        <v>0</v>
      </c>
      <c r="C580" s="2">
        <f t="shared" si="34"/>
        <v>0</v>
      </c>
      <c r="D580" s="2">
        <f t="shared" si="35"/>
        <v>17.134999999999994</v>
      </c>
    </row>
    <row r="581" spans="1:4" x14ac:dyDescent="0.25">
      <c r="A581">
        <f t="shared" si="33"/>
        <v>11.21999999999985</v>
      </c>
      <c r="B581" s="2">
        <f t="shared" si="32"/>
        <v>0</v>
      </c>
      <c r="C581" s="2">
        <f t="shared" si="34"/>
        <v>0</v>
      </c>
      <c r="D581" s="2">
        <f t="shared" si="35"/>
        <v>17.134999999999994</v>
      </c>
    </row>
    <row r="582" spans="1:4" x14ac:dyDescent="0.25">
      <c r="A582">
        <f t="shared" si="33"/>
        <v>11.239999999999849</v>
      </c>
      <c r="B582" s="2">
        <f t="shared" si="32"/>
        <v>0</v>
      </c>
      <c r="C582" s="2">
        <f t="shared" si="34"/>
        <v>0</v>
      </c>
      <c r="D582" s="2">
        <f t="shared" si="35"/>
        <v>17.134999999999994</v>
      </c>
    </row>
    <row r="583" spans="1:4" x14ac:dyDescent="0.25">
      <c r="A583">
        <f t="shared" si="33"/>
        <v>11.259999999999849</v>
      </c>
      <c r="B583" s="2">
        <f t="shared" si="32"/>
        <v>0</v>
      </c>
      <c r="C583" s="2">
        <f t="shared" si="34"/>
        <v>0</v>
      </c>
      <c r="D583" s="2">
        <f t="shared" si="35"/>
        <v>17.134999999999994</v>
      </c>
    </row>
    <row r="584" spans="1:4" x14ac:dyDescent="0.25">
      <c r="A584">
        <f t="shared" si="33"/>
        <v>11.279999999999848</v>
      </c>
      <c r="B584" s="2">
        <f t="shared" si="32"/>
        <v>0</v>
      </c>
      <c r="C584" s="2">
        <f t="shared" si="34"/>
        <v>0</v>
      </c>
      <c r="D584" s="2">
        <f t="shared" si="35"/>
        <v>17.134999999999994</v>
      </c>
    </row>
    <row r="585" spans="1:4" x14ac:dyDescent="0.25">
      <c r="A585">
        <f t="shared" si="33"/>
        <v>11.299999999999848</v>
      </c>
      <c r="B585" s="2">
        <f t="shared" si="32"/>
        <v>0</v>
      </c>
      <c r="C585" s="2">
        <f t="shared" si="34"/>
        <v>0</v>
      </c>
      <c r="D585" s="2">
        <f t="shared" si="35"/>
        <v>17.134999999999994</v>
      </c>
    </row>
    <row r="586" spans="1:4" x14ac:dyDescent="0.25">
      <c r="A586">
        <f t="shared" si="33"/>
        <v>11.319999999999848</v>
      </c>
      <c r="B586" s="2">
        <f t="shared" si="32"/>
        <v>0</v>
      </c>
      <c r="C586" s="2">
        <f t="shared" si="34"/>
        <v>0</v>
      </c>
      <c r="D586" s="2">
        <f t="shared" si="35"/>
        <v>17.134999999999994</v>
      </c>
    </row>
    <row r="587" spans="1:4" x14ac:dyDescent="0.25">
      <c r="A587">
        <f t="shared" si="33"/>
        <v>11.339999999999847</v>
      </c>
      <c r="B587" s="2">
        <f t="shared" si="32"/>
        <v>0</v>
      </c>
      <c r="C587" s="2">
        <f t="shared" si="34"/>
        <v>0</v>
      </c>
      <c r="D587" s="2">
        <f t="shared" si="35"/>
        <v>17.134999999999994</v>
      </c>
    </row>
    <row r="588" spans="1:4" x14ac:dyDescent="0.25">
      <c r="A588">
        <f t="shared" si="33"/>
        <v>11.359999999999847</v>
      </c>
      <c r="B588" s="2">
        <f t="shared" si="32"/>
        <v>0</v>
      </c>
      <c r="C588" s="2">
        <f t="shared" si="34"/>
        <v>0</v>
      </c>
      <c r="D588" s="2">
        <f t="shared" si="35"/>
        <v>17.134999999999994</v>
      </c>
    </row>
    <row r="589" spans="1:4" x14ac:dyDescent="0.25">
      <c r="A589">
        <f t="shared" si="33"/>
        <v>11.379999999999846</v>
      </c>
      <c r="B589" s="2">
        <f t="shared" si="32"/>
        <v>0</v>
      </c>
      <c r="C589" s="2">
        <f t="shared" si="34"/>
        <v>0</v>
      </c>
      <c r="D589" s="2">
        <f t="shared" si="35"/>
        <v>17.134999999999994</v>
      </c>
    </row>
    <row r="590" spans="1:4" x14ac:dyDescent="0.25">
      <c r="A590">
        <f t="shared" si="33"/>
        <v>11.399999999999846</v>
      </c>
      <c r="B590" s="2">
        <f t="shared" si="32"/>
        <v>0</v>
      </c>
      <c r="C590" s="2">
        <f t="shared" si="34"/>
        <v>0</v>
      </c>
      <c r="D590" s="2">
        <f t="shared" si="35"/>
        <v>17.134999999999994</v>
      </c>
    </row>
    <row r="591" spans="1:4" x14ac:dyDescent="0.25">
      <c r="A591">
        <f t="shared" si="33"/>
        <v>11.419999999999845</v>
      </c>
      <c r="B591" s="2">
        <f t="shared" si="32"/>
        <v>0</v>
      </c>
      <c r="C591" s="2">
        <f t="shared" si="34"/>
        <v>0</v>
      </c>
      <c r="D591" s="2">
        <f t="shared" si="35"/>
        <v>17.134999999999994</v>
      </c>
    </row>
    <row r="592" spans="1:4" x14ac:dyDescent="0.25">
      <c r="A592">
        <f t="shared" si="33"/>
        <v>11.439999999999845</v>
      </c>
      <c r="B592" s="2">
        <f t="shared" si="32"/>
        <v>0</v>
      </c>
      <c r="C592" s="2">
        <f t="shared" si="34"/>
        <v>0</v>
      </c>
      <c r="D592" s="2">
        <f t="shared" si="35"/>
        <v>17.134999999999994</v>
      </c>
    </row>
    <row r="593" spans="1:4" x14ac:dyDescent="0.25">
      <c r="A593">
        <f t="shared" si="33"/>
        <v>11.459999999999845</v>
      </c>
      <c r="B593" s="2">
        <f t="shared" si="32"/>
        <v>0</v>
      </c>
      <c r="C593" s="2">
        <f t="shared" si="34"/>
        <v>0</v>
      </c>
      <c r="D593" s="2">
        <f t="shared" si="35"/>
        <v>17.134999999999994</v>
      </c>
    </row>
    <row r="594" spans="1:4" x14ac:dyDescent="0.25">
      <c r="A594">
        <f t="shared" si="33"/>
        <v>11.479999999999844</v>
      </c>
      <c r="B594" s="2">
        <f t="shared" si="32"/>
        <v>0</v>
      </c>
      <c r="C594" s="2">
        <f t="shared" si="34"/>
        <v>0</v>
      </c>
      <c r="D594" s="2">
        <f t="shared" si="35"/>
        <v>17.134999999999994</v>
      </c>
    </row>
    <row r="595" spans="1:4" x14ac:dyDescent="0.25">
      <c r="A595">
        <f t="shared" si="33"/>
        <v>11.499999999999844</v>
      </c>
      <c r="B595" s="2">
        <f t="shared" si="32"/>
        <v>0</v>
      </c>
      <c r="C595" s="2">
        <f t="shared" si="34"/>
        <v>0</v>
      </c>
      <c r="D595" s="2">
        <f t="shared" si="35"/>
        <v>17.134999999999994</v>
      </c>
    </row>
    <row r="596" spans="1:4" x14ac:dyDescent="0.25">
      <c r="A596">
        <f t="shared" si="33"/>
        <v>11.519999999999843</v>
      </c>
      <c r="B596" s="2">
        <f t="shared" si="32"/>
        <v>0</v>
      </c>
      <c r="C596" s="2">
        <f t="shared" si="34"/>
        <v>0</v>
      </c>
      <c r="D596" s="2">
        <f t="shared" si="35"/>
        <v>17.134999999999994</v>
      </c>
    </row>
    <row r="597" spans="1:4" x14ac:dyDescent="0.25">
      <c r="A597">
        <f t="shared" si="33"/>
        <v>11.539999999999843</v>
      </c>
      <c r="B597" s="2">
        <f t="shared" ref="B597:B660" si="36">MAX(0,IF(A597&lt;$B$14,B596+$B$8,IF(AND(A597&gt;=$B$14,A597&lt;=$B$15),$B$11/$B$2,B596-$B$8)))</f>
        <v>0</v>
      </c>
      <c r="C597" s="2">
        <f t="shared" si="34"/>
        <v>0</v>
      </c>
      <c r="D597" s="2">
        <f t="shared" si="35"/>
        <v>17.134999999999994</v>
      </c>
    </row>
    <row r="598" spans="1:4" x14ac:dyDescent="0.25">
      <c r="A598">
        <f t="shared" ref="A598:A661" si="37">A597+$B$1</f>
        <v>11.559999999999842</v>
      </c>
      <c r="B598" s="2">
        <f t="shared" si="36"/>
        <v>0</v>
      </c>
      <c r="C598" s="2">
        <f t="shared" ref="C598:C661" si="38">B598*$B$2</f>
        <v>0</v>
      </c>
      <c r="D598" s="2">
        <f t="shared" ref="D598:D661" si="39">D597+C597*$B$1</f>
        <v>17.134999999999994</v>
      </c>
    </row>
    <row r="599" spans="1:4" x14ac:dyDescent="0.25">
      <c r="A599">
        <f t="shared" si="37"/>
        <v>11.579999999999842</v>
      </c>
      <c r="B599" s="2">
        <f t="shared" si="36"/>
        <v>0</v>
      </c>
      <c r="C599" s="2">
        <f t="shared" si="38"/>
        <v>0</v>
      </c>
      <c r="D599" s="2">
        <f t="shared" si="39"/>
        <v>17.134999999999994</v>
      </c>
    </row>
    <row r="600" spans="1:4" x14ac:dyDescent="0.25">
      <c r="A600">
        <f t="shared" si="37"/>
        <v>11.599999999999842</v>
      </c>
      <c r="B600" s="2">
        <f t="shared" si="36"/>
        <v>0</v>
      </c>
      <c r="C600" s="2">
        <f t="shared" si="38"/>
        <v>0</v>
      </c>
      <c r="D600" s="2">
        <f t="shared" si="39"/>
        <v>17.134999999999994</v>
      </c>
    </row>
    <row r="601" spans="1:4" x14ac:dyDescent="0.25">
      <c r="A601">
        <f t="shared" si="37"/>
        <v>11.619999999999841</v>
      </c>
      <c r="B601" s="2">
        <f t="shared" si="36"/>
        <v>0</v>
      </c>
      <c r="C601" s="2">
        <f t="shared" si="38"/>
        <v>0</v>
      </c>
      <c r="D601" s="2">
        <f t="shared" si="39"/>
        <v>17.134999999999994</v>
      </c>
    </row>
    <row r="602" spans="1:4" x14ac:dyDescent="0.25">
      <c r="A602">
        <f t="shared" si="37"/>
        <v>11.639999999999841</v>
      </c>
      <c r="B602" s="2">
        <f t="shared" si="36"/>
        <v>0</v>
      </c>
      <c r="C602" s="2">
        <f t="shared" si="38"/>
        <v>0</v>
      </c>
      <c r="D602" s="2">
        <f t="shared" si="39"/>
        <v>17.134999999999994</v>
      </c>
    </row>
    <row r="603" spans="1:4" x14ac:dyDescent="0.25">
      <c r="A603">
        <f t="shared" si="37"/>
        <v>11.65999999999984</v>
      </c>
      <c r="B603" s="2">
        <f t="shared" si="36"/>
        <v>0</v>
      </c>
      <c r="C603" s="2">
        <f t="shared" si="38"/>
        <v>0</v>
      </c>
      <c r="D603" s="2">
        <f t="shared" si="39"/>
        <v>17.134999999999994</v>
      </c>
    </row>
    <row r="604" spans="1:4" x14ac:dyDescent="0.25">
      <c r="A604">
        <f t="shared" si="37"/>
        <v>11.67999999999984</v>
      </c>
      <c r="B604" s="2">
        <f t="shared" si="36"/>
        <v>0</v>
      </c>
      <c r="C604" s="2">
        <f t="shared" si="38"/>
        <v>0</v>
      </c>
      <c r="D604" s="2">
        <f t="shared" si="39"/>
        <v>17.134999999999994</v>
      </c>
    </row>
    <row r="605" spans="1:4" x14ac:dyDescent="0.25">
      <c r="A605">
        <f t="shared" si="37"/>
        <v>11.699999999999839</v>
      </c>
      <c r="B605" s="2">
        <f t="shared" si="36"/>
        <v>0</v>
      </c>
      <c r="C605" s="2">
        <f t="shared" si="38"/>
        <v>0</v>
      </c>
      <c r="D605" s="2">
        <f t="shared" si="39"/>
        <v>17.134999999999994</v>
      </c>
    </row>
    <row r="606" spans="1:4" x14ac:dyDescent="0.25">
      <c r="A606">
        <f t="shared" si="37"/>
        <v>11.719999999999839</v>
      </c>
      <c r="B606" s="2">
        <f t="shared" si="36"/>
        <v>0</v>
      </c>
      <c r="C606" s="2">
        <f t="shared" si="38"/>
        <v>0</v>
      </c>
      <c r="D606" s="2">
        <f t="shared" si="39"/>
        <v>17.134999999999994</v>
      </c>
    </row>
    <row r="607" spans="1:4" x14ac:dyDescent="0.25">
      <c r="A607">
        <f t="shared" si="37"/>
        <v>11.739999999999839</v>
      </c>
      <c r="B607" s="2">
        <f t="shared" si="36"/>
        <v>0</v>
      </c>
      <c r="C607" s="2">
        <f t="shared" si="38"/>
        <v>0</v>
      </c>
      <c r="D607" s="2">
        <f t="shared" si="39"/>
        <v>17.134999999999994</v>
      </c>
    </row>
    <row r="608" spans="1:4" x14ac:dyDescent="0.25">
      <c r="A608">
        <f t="shared" si="37"/>
        <v>11.759999999999838</v>
      </c>
      <c r="B608" s="2">
        <f t="shared" si="36"/>
        <v>0</v>
      </c>
      <c r="C608" s="2">
        <f t="shared" si="38"/>
        <v>0</v>
      </c>
      <c r="D608" s="2">
        <f t="shared" si="39"/>
        <v>17.134999999999994</v>
      </c>
    </row>
    <row r="609" spans="1:4" x14ac:dyDescent="0.25">
      <c r="A609">
        <f t="shared" si="37"/>
        <v>11.779999999999838</v>
      </c>
      <c r="B609" s="2">
        <f t="shared" si="36"/>
        <v>0</v>
      </c>
      <c r="C609" s="2">
        <f t="shared" si="38"/>
        <v>0</v>
      </c>
      <c r="D609" s="2">
        <f t="shared" si="39"/>
        <v>17.134999999999994</v>
      </c>
    </row>
    <row r="610" spans="1:4" x14ac:dyDescent="0.25">
      <c r="A610">
        <f t="shared" si="37"/>
        <v>11.799999999999837</v>
      </c>
      <c r="B610" s="2">
        <f t="shared" si="36"/>
        <v>0</v>
      </c>
      <c r="C610" s="2">
        <f t="shared" si="38"/>
        <v>0</v>
      </c>
      <c r="D610" s="2">
        <f t="shared" si="39"/>
        <v>17.134999999999994</v>
      </c>
    </row>
    <row r="611" spans="1:4" x14ac:dyDescent="0.25">
      <c r="A611">
        <f t="shared" si="37"/>
        <v>11.819999999999837</v>
      </c>
      <c r="B611" s="2">
        <f t="shared" si="36"/>
        <v>0</v>
      </c>
      <c r="C611" s="2">
        <f t="shared" si="38"/>
        <v>0</v>
      </c>
      <c r="D611" s="2">
        <f t="shared" si="39"/>
        <v>17.134999999999994</v>
      </c>
    </row>
    <row r="612" spans="1:4" x14ac:dyDescent="0.25">
      <c r="A612">
        <f t="shared" si="37"/>
        <v>11.839999999999836</v>
      </c>
      <c r="B612" s="2">
        <f t="shared" si="36"/>
        <v>0</v>
      </c>
      <c r="C612" s="2">
        <f t="shared" si="38"/>
        <v>0</v>
      </c>
      <c r="D612" s="2">
        <f t="shared" si="39"/>
        <v>17.134999999999994</v>
      </c>
    </row>
    <row r="613" spans="1:4" x14ac:dyDescent="0.25">
      <c r="A613">
        <f t="shared" si="37"/>
        <v>11.859999999999836</v>
      </c>
      <c r="B613" s="2">
        <f t="shared" si="36"/>
        <v>0</v>
      </c>
      <c r="C613" s="2">
        <f t="shared" si="38"/>
        <v>0</v>
      </c>
      <c r="D613" s="2">
        <f t="shared" si="39"/>
        <v>17.134999999999994</v>
      </c>
    </row>
    <row r="614" spans="1:4" x14ac:dyDescent="0.25">
      <c r="A614">
        <f t="shared" si="37"/>
        <v>11.879999999999836</v>
      </c>
      <c r="B614" s="2">
        <f t="shared" si="36"/>
        <v>0</v>
      </c>
      <c r="C614" s="2">
        <f t="shared" si="38"/>
        <v>0</v>
      </c>
      <c r="D614" s="2">
        <f t="shared" si="39"/>
        <v>17.134999999999994</v>
      </c>
    </row>
    <row r="615" spans="1:4" x14ac:dyDescent="0.25">
      <c r="A615">
        <f t="shared" si="37"/>
        <v>11.899999999999835</v>
      </c>
      <c r="B615" s="2">
        <f t="shared" si="36"/>
        <v>0</v>
      </c>
      <c r="C615" s="2">
        <f t="shared" si="38"/>
        <v>0</v>
      </c>
      <c r="D615" s="2">
        <f t="shared" si="39"/>
        <v>17.134999999999994</v>
      </c>
    </row>
    <row r="616" spans="1:4" x14ac:dyDescent="0.25">
      <c r="A616">
        <f t="shared" si="37"/>
        <v>11.919999999999835</v>
      </c>
      <c r="B616" s="2">
        <f t="shared" si="36"/>
        <v>0</v>
      </c>
      <c r="C616" s="2">
        <f t="shared" si="38"/>
        <v>0</v>
      </c>
      <c r="D616" s="2">
        <f t="shared" si="39"/>
        <v>17.134999999999994</v>
      </c>
    </row>
    <row r="617" spans="1:4" x14ac:dyDescent="0.25">
      <c r="A617">
        <f t="shared" si="37"/>
        <v>11.939999999999834</v>
      </c>
      <c r="B617" s="2">
        <f t="shared" si="36"/>
        <v>0</v>
      </c>
      <c r="C617" s="2">
        <f t="shared" si="38"/>
        <v>0</v>
      </c>
      <c r="D617" s="2">
        <f t="shared" si="39"/>
        <v>17.134999999999994</v>
      </c>
    </row>
    <row r="618" spans="1:4" x14ac:dyDescent="0.25">
      <c r="A618">
        <f t="shared" si="37"/>
        <v>11.959999999999834</v>
      </c>
      <c r="B618" s="2">
        <f t="shared" si="36"/>
        <v>0</v>
      </c>
      <c r="C618" s="2">
        <f t="shared" si="38"/>
        <v>0</v>
      </c>
      <c r="D618" s="2">
        <f t="shared" si="39"/>
        <v>17.134999999999994</v>
      </c>
    </row>
    <row r="619" spans="1:4" x14ac:dyDescent="0.25">
      <c r="A619">
        <f t="shared" si="37"/>
        <v>11.979999999999833</v>
      </c>
      <c r="B619" s="2">
        <f t="shared" si="36"/>
        <v>0</v>
      </c>
      <c r="C619" s="2">
        <f t="shared" si="38"/>
        <v>0</v>
      </c>
      <c r="D619" s="2">
        <f t="shared" si="39"/>
        <v>17.134999999999994</v>
      </c>
    </row>
    <row r="620" spans="1:4" x14ac:dyDescent="0.25">
      <c r="A620">
        <f t="shared" si="37"/>
        <v>11.999999999999833</v>
      </c>
      <c r="B620" s="2">
        <f t="shared" si="36"/>
        <v>0</v>
      </c>
      <c r="C620" s="2">
        <f t="shared" si="38"/>
        <v>0</v>
      </c>
      <c r="D620" s="2">
        <f t="shared" si="39"/>
        <v>17.134999999999994</v>
      </c>
    </row>
    <row r="621" spans="1:4" x14ac:dyDescent="0.25">
      <c r="A621">
        <f t="shared" si="37"/>
        <v>12.019999999999833</v>
      </c>
      <c r="B621" s="2">
        <f t="shared" si="36"/>
        <v>0</v>
      </c>
      <c r="C621" s="2">
        <f t="shared" si="38"/>
        <v>0</v>
      </c>
      <c r="D621" s="2">
        <f t="shared" si="39"/>
        <v>17.134999999999994</v>
      </c>
    </row>
    <row r="622" spans="1:4" x14ac:dyDescent="0.25">
      <c r="A622">
        <f t="shared" si="37"/>
        <v>12.039999999999832</v>
      </c>
      <c r="B622" s="2">
        <f t="shared" si="36"/>
        <v>0</v>
      </c>
      <c r="C622" s="2">
        <f t="shared" si="38"/>
        <v>0</v>
      </c>
      <c r="D622" s="2">
        <f t="shared" si="39"/>
        <v>17.134999999999994</v>
      </c>
    </row>
    <row r="623" spans="1:4" x14ac:dyDescent="0.25">
      <c r="A623">
        <f t="shared" si="37"/>
        <v>12.059999999999832</v>
      </c>
      <c r="B623" s="2">
        <f t="shared" si="36"/>
        <v>0</v>
      </c>
      <c r="C623" s="2">
        <f t="shared" si="38"/>
        <v>0</v>
      </c>
      <c r="D623" s="2">
        <f t="shared" si="39"/>
        <v>17.134999999999994</v>
      </c>
    </row>
    <row r="624" spans="1:4" x14ac:dyDescent="0.25">
      <c r="A624">
        <f t="shared" si="37"/>
        <v>12.079999999999831</v>
      </c>
      <c r="B624" s="2">
        <f t="shared" si="36"/>
        <v>0</v>
      </c>
      <c r="C624" s="2">
        <f t="shared" si="38"/>
        <v>0</v>
      </c>
      <c r="D624" s="2">
        <f t="shared" si="39"/>
        <v>17.134999999999994</v>
      </c>
    </row>
    <row r="625" spans="1:4" x14ac:dyDescent="0.25">
      <c r="A625">
        <f t="shared" si="37"/>
        <v>12.099999999999831</v>
      </c>
      <c r="B625" s="2">
        <f t="shared" si="36"/>
        <v>0</v>
      </c>
      <c r="C625" s="2">
        <f t="shared" si="38"/>
        <v>0</v>
      </c>
      <c r="D625" s="2">
        <f t="shared" si="39"/>
        <v>17.134999999999994</v>
      </c>
    </row>
    <row r="626" spans="1:4" x14ac:dyDescent="0.25">
      <c r="A626">
        <f t="shared" si="37"/>
        <v>12.11999999999983</v>
      </c>
      <c r="B626" s="2">
        <f t="shared" si="36"/>
        <v>0</v>
      </c>
      <c r="C626" s="2">
        <f t="shared" si="38"/>
        <v>0</v>
      </c>
      <c r="D626" s="2">
        <f t="shared" si="39"/>
        <v>17.134999999999994</v>
      </c>
    </row>
    <row r="627" spans="1:4" x14ac:dyDescent="0.25">
      <c r="A627">
        <f t="shared" si="37"/>
        <v>12.13999999999983</v>
      </c>
      <c r="B627" s="2">
        <f t="shared" si="36"/>
        <v>0</v>
      </c>
      <c r="C627" s="2">
        <f t="shared" si="38"/>
        <v>0</v>
      </c>
      <c r="D627" s="2">
        <f t="shared" si="39"/>
        <v>17.134999999999994</v>
      </c>
    </row>
    <row r="628" spans="1:4" x14ac:dyDescent="0.25">
      <c r="A628">
        <f t="shared" si="37"/>
        <v>12.15999999999983</v>
      </c>
      <c r="B628" s="2">
        <f t="shared" si="36"/>
        <v>0</v>
      </c>
      <c r="C628" s="2">
        <f t="shared" si="38"/>
        <v>0</v>
      </c>
      <c r="D628" s="2">
        <f t="shared" si="39"/>
        <v>17.134999999999994</v>
      </c>
    </row>
    <row r="629" spans="1:4" x14ac:dyDescent="0.25">
      <c r="A629">
        <f t="shared" si="37"/>
        <v>12.179999999999829</v>
      </c>
      <c r="B629" s="2">
        <f t="shared" si="36"/>
        <v>0</v>
      </c>
      <c r="C629" s="2">
        <f t="shared" si="38"/>
        <v>0</v>
      </c>
      <c r="D629" s="2">
        <f t="shared" si="39"/>
        <v>17.134999999999994</v>
      </c>
    </row>
    <row r="630" spans="1:4" x14ac:dyDescent="0.25">
      <c r="A630">
        <f t="shared" si="37"/>
        <v>12.199999999999829</v>
      </c>
      <c r="B630" s="2">
        <f t="shared" si="36"/>
        <v>0</v>
      </c>
      <c r="C630" s="2">
        <f t="shared" si="38"/>
        <v>0</v>
      </c>
      <c r="D630" s="2">
        <f t="shared" si="39"/>
        <v>17.134999999999994</v>
      </c>
    </row>
    <row r="631" spans="1:4" x14ac:dyDescent="0.25">
      <c r="A631">
        <f t="shared" si="37"/>
        <v>12.219999999999828</v>
      </c>
      <c r="B631" s="2">
        <f t="shared" si="36"/>
        <v>0</v>
      </c>
      <c r="C631" s="2">
        <f t="shared" si="38"/>
        <v>0</v>
      </c>
      <c r="D631" s="2">
        <f t="shared" si="39"/>
        <v>17.134999999999994</v>
      </c>
    </row>
    <row r="632" spans="1:4" x14ac:dyDescent="0.25">
      <c r="A632">
        <f t="shared" si="37"/>
        <v>12.239999999999828</v>
      </c>
      <c r="B632" s="2">
        <f t="shared" si="36"/>
        <v>0</v>
      </c>
      <c r="C632" s="2">
        <f t="shared" si="38"/>
        <v>0</v>
      </c>
      <c r="D632" s="2">
        <f t="shared" si="39"/>
        <v>17.134999999999994</v>
      </c>
    </row>
    <row r="633" spans="1:4" x14ac:dyDescent="0.25">
      <c r="A633">
        <f t="shared" si="37"/>
        <v>12.259999999999827</v>
      </c>
      <c r="B633" s="2">
        <f t="shared" si="36"/>
        <v>0</v>
      </c>
      <c r="C633" s="2">
        <f t="shared" si="38"/>
        <v>0</v>
      </c>
      <c r="D633" s="2">
        <f t="shared" si="39"/>
        <v>17.134999999999994</v>
      </c>
    </row>
    <row r="634" spans="1:4" x14ac:dyDescent="0.25">
      <c r="A634">
        <f t="shared" si="37"/>
        <v>12.279999999999827</v>
      </c>
      <c r="B634" s="2">
        <f t="shared" si="36"/>
        <v>0</v>
      </c>
      <c r="C634" s="2">
        <f t="shared" si="38"/>
        <v>0</v>
      </c>
      <c r="D634" s="2">
        <f t="shared" si="39"/>
        <v>17.134999999999994</v>
      </c>
    </row>
    <row r="635" spans="1:4" x14ac:dyDescent="0.25">
      <c r="A635">
        <f t="shared" si="37"/>
        <v>12.299999999999827</v>
      </c>
      <c r="B635" s="2">
        <f t="shared" si="36"/>
        <v>0</v>
      </c>
      <c r="C635" s="2">
        <f t="shared" si="38"/>
        <v>0</v>
      </c>
      <c r="D635" s="2">
        <f t="shared" si="39"/>
        <v>17.134999999999994</v>
      </c>
    </row>
    <row r="636" spans="1:4" x14ac:dyDescent="0.25">
      <c r="A636">
        <f t="shared" si="37"/>
        <v>12.319999999999826</v>
      </c>
      <c r="B636" s="2">
        <f t="shared" si="36"/>
        <v>0</v>
      </c>
      <c r="C636" s="2">
        <f t="shared" si="38"/>
        <v>0</v>
      </c>
      <c r="D636" s="2">
        <f t="shared" si="39"/>
        <v>17.134999999999994</v>
      </c>
    </row>
    <row r="637" spans="1:4" x14ac:dyDescent="0.25">
      <c r="A637">
        <f t="shared" si="37"/>
        <v>12.339999999999826</v>
      </c>
      <c r="B637" s="2">
        <f t="shared" si="36"/>
        <v>0</v>
      </c>
      <c r="C637" s="2">
        <f t="shared" si="38"/>
        <v>0</v>
      </c>
      <c r="D637" s="2">
        <f t="shared" si="39"/>
        <v>17.134999999999994</v>
      </c>
    </row>
    <row r="638" spans="1:4" x14ac:dyDescent="0.25">
      <c r="A638">
        <f t="shared" si="37"/>
        <v>12.359999999999825</v>
      </c>
      <c r="B638" s="2">
        <f t="shared" si="36"/>
        <v>0</v>
      </c>
      <c r="C638" s="2">
        <f t="shared" si="38"/>
        <v>0</v>
      </c>
      <c r="D638" s="2">
        <f t="shared" si="39"/>
        <v>17.134999999999994</v>
      </c>
    </row>
    <row r="639" spans="1:4" x14ac:dyDescent="0.25">
      <c r="A639">
        <f t="shared" si="37"/>
        <v>12.379999999999825</v>
      </c>
      <c r="B639" s="2">
        <f t="shared" si="36"/>
        <v>0</v>
      </c>
      <c r="C639" s="2">
        <f t="shared" si="38"/>
        <v>0</v>
      </c>
      <c r="D639" s="2">
        <f t="shared" si="39"/>
        <v>17.134999999999994</v>
      </c>
    </row>
    <row r="640" spans="1:4" x14ac:dyDescent="0.25">
      <c r="A640">
        <f t="shared" si="37"/>
        <v>12.399999999999824</v>
      </c>
      <c r="B640" s="2">
        <f t="shared" si="36"/>
        <v>0</v>
      </c>
      <c r="C640" s="2">
        <f t="shared" si="38"/>
        <v>0</v>
      </c>
      <c r="D640" s="2">
        <f t="shared" si="39"/>
        <v>17.134999999999994</v>
      </c>
    </row>
    <row r="641" spans="1:4" x14ac:dyDescent="0.25">
      <c r="A641">
        <f t="shared" si="37"/>
        <v>12.419999999999824</v>
      </c>
      <c r="B641" s="2">
        <f t="shared" si="36"/>
        <v>0</v>
      </c>
      <c r="C641" s="2">
        <f t="shared" si="38"/>
        <v>0</v>
      </c>
      <c r="D641" s="2">
        <f t="shared" si="39"/>
        <v>17.134999999999994</v>
      </c>
    </row>
    <row r="642" spans="1:4" x14ac:dyDescent="0.25">
      <c r="A642">
        <f t="shared" si="37"/>
        <v>12.439999999999824</v>
      </c>
      <c r="B642" s="2">
        <f t="shared" si="36"/>
        <v>0</v>
      </c>
      <c r="C642" s="2">
        <f t="shared" si="38"/>
        <v>0</v>
      </c>
      <c r="D642" s="2">
        <f t="shared" si="39"/>
        <v>17.134999999999994</v>
      </c>
    </row>
    <row r="643" spans="1:4" x14ac:dyDescent="0.25">
      <c r="A643">
        <f t="shared" si="37"/>
        <v>12.459999999999823</v>
      </c>
      <c r="B643" s="2">
        <f t="shared" si="36"/>
        <v>0</v>
      </c>
      <c r="C643" s="2">
        <f t="shared" si="38"/>
        <v>0</v>
      </c>
      <c r="D643" s="2">
        <f t="shared" si="39"/>
        <v>17.134999999999994</v>
      </c>
    </row>
    <row r="644" spans="1:4" x14ac:dyDescent="0.25">
      <c r="A644">
        <f t="shared" si="37"/>
        <v>12.479999999999823</v>
      </c>
      <c r="B644" s="2">
        <f t="shared" si="36"/>
        <v>0</v>
      </c>
      <c r="C644" s="2">
        <f t="shared" si="38"/>
        <v>0</v>
      </c>
      <c r="D644" s="2">
        <f t="shared" si="39"/>
        <v>17.134999999999994</v>
      </c>
    </row>
    <row r="645" spans="1:4" x14ac:dyDescent="0.25">
      <c r="A645">
        <f t="shared" si="37"/>
        <v>12.499999999999822</v>
      </c>
      <c r="B645" s="2">
        <f t="shared" si="36"/>
        <v>0</v>
      </c>
      <c r="C645" s="2">
        <f t="shared" si="38"/>
        <v>0</v>
      </c>
      <c r="D645" s="2">
        <f t="shared" si="39"/>
        <v>17.134999999999994</v>
      </c>
    </row>
    <row r="646" spans="1:4" x14ac:dyDescent="0.25">
      <c r="A646">
        <f t="shared" si="37"/>
        <v>12.519999999999822</v>
      </c>
      <c r="B646" s="2">
        <f t="shared" si="36"/>
        <v>0</v>
      </c>
      <c r="C646" s="2">
        <f t="shared" si="38"/>
        <v>0</v>
      </c>
      <c r="D646" s="2">
        <f t="shared" si="39"/>
        <v>17.134999999999994</v>
      </c>
    </row>
    <row r="647" spans="1:4" x14ac:dyDescent="0.25">
      <c r="A647">
        <f t="shared" si="37"/>
        <v>12.539999999999822</v>
      </c>
      <c r="B647" s="2">
        <f t="shared" si="36"/>
        <v>0</v>
      </c>
      <c r="C647" s="2">
        <f t="shared" si="38"/>
        <v>0</v>
      </c>
      <c r="D647" s="2">
        <f t="shared" si="39"/>
        <v>17.134999999999994</v>
      </c>
    </row>
    <row r="648" spans="1:4" x14ac:dyDescent="0.25">
      <c r="A648">
        <f t="shared" si="37"/>
        <v>12.559999999999821</v>
      </c>
      <c r="B648" s="2">
        <f t="shared" si="36"/>
        <v>0</v>
      </c>
      <c r="C648" s="2">
        <f t="shared" si="38"/>
        <v>0</v>
      </c>
      <c r="D648" s="2">
        <f t="shared" si="39"/>
        <v>17.134999999999994</v>
      </c>
    </row>
    <row r="649" spans="1:4" x14ac:dyDescent="0.25">
      <c r="A649">
        <f t="shared" si="37"/>
        <v>12.579999999999821</v>
      </c>
      <c r="B649" s="2">
        <f t="shared" si="36"/>
        <v>0</v>
      </c>
      <c r="C649" s="2">
        <f t="shared" si="38"/>
        <v>0</v>
      </c>
      <c r="D649" s="2">
        <f t="shared" si="39"/>
        <v>17.134999999999994</v>
      </c>
    </row>
    <row r="650" spans="1:4" x14ac:dyDescent="0.25">
      <c r="A650">
        <f t="shared" si="37"/>
        <v>12.59999999999982</v>
      </c>
      <c r="B650" s="2">
        <f t="shared" si="36"/>
        <v>0</v>
      </c>
      <c r="C650" s="2">
        <f t="shared" si="38"/>
        <v>0</v>
      </c>
      <c r="D650" s="2">
        <f t="shared" si="39"/>
        <v>17.134999999999994</v>
      </c>
    </row>
    <row r="651" spans="1:4" x14ac:dyDescent="0.25">
      <c r="A651">
        <f t="shared" si="37"/>
        <v>12.61999999999982</v>
      </c>
      <c r="B651" s="2">
        <f t="shared" si="36"/>
        <v>0</v>
      </c>
      <c r="C651" s="2">
        <f t="shared" si="38"/>
        <v>0</v>
      </c>
      <c r="D651" s="2">
        <f t="shared" si="39"/>
        <v>17.134999999999994</v>
      </c>
    </row>
    <row r="652" spans="1:4" x14ac:dyDescent="0.25">
      <c r="A652">
        <f t="shared" si="37"/>
        <v>12.639999999999819</v>
      </c>
      <c r="B652" s="2">
        <f t="shared" si="36"/>
        <v>0</v>
      </c>
      <c r="C652" s="2">
        <f t="shared" si="38"/>
        <v>0</v>
      </c>
      <c r="D652" s="2">
        <f t="shared" si="39"/>
        <v>17.134999999999994</v>
      </c>
    </row>
    <row r="653" spans="1:4" x14ac:dyDescent="0.25">
      <c r="A653">
        <f t="shared" si="37"/>
        <v>12.659999999999819</v>
      </c>
      <c r="B653" s="2">
        <f t="shared" si="36"/>
        <v>0</v>
      </c>
      <c r="C653" s="2">
        <f t="shared" si="38"/>
        <v>0</v>
      </c>
      <c r="D653" s="2">
        <f t="shared" si="39"/>
        <v>17.134999999999994</v>
      </c>
    </row>
    <row r="654" spans="1:4" x14ac:dyDescent="0.25">
      <c r="A654">
        <f t="shared" si="37"/>
        <v>12.679999999999819</v>
      </c>
      <c r="B654" s="2">
        <f t="shared" si="36"/>
        <v>0</v>
      </c>
      <c r="C654" s="2">
        <f t="shared" si="38"/>
        <v>0</v>
      </c>
      <c r="D654" s="2">
        <f t="shared" si="39"/>
        <v>17.134999999999994</v>
      </c>
    </row>
    <row r="655" spans="1:4" x14ac:dyDescent="0.25">
      <c r="A655">
        <f t="shared" si="37"/>
        <v>12.699999999999818</v>
      </c>
      <c r="B655" s="2">
        <f t="shared" si="36"/>
        <v>0</v>
      </c>
      <c r="C655" s="2">
        <f t="shared" si="38"/>
        <v>0</v>
      </c>
      <c r="D655" s="2">
        <f t="shared" si="39"/>
        <v>17.134999999999994</v>
      </c>
    </row>
    <row r="656" spans="1:4" x14ac:dyDescent="0.25">
      <c r="A656">
        <f t="shared" si="37"/>
        <v>12.719999999999818</v>
      </c>
      <c r="B656" s="2">
        <f t="shared" si="36"/>
        <v>0</v>
      </c>
      <c r="C656" s="2">
        <f t="shared" si="38"/>
        <v>0</v>
      </c>
      <c r="D656" s="2">
        <f t="shared" si="39"/>
        <v>17.134999999999994</v>
      </c>
    </row>
    <row r="657" spans="1:4" x14ac:dyDescent="0.25">
      <c r="A657">
        <f t="shared" si="37"/>
        <v>12.739999999999817</v>
      </c>
      <c r="B657" s="2">
        <f t="shared" si="36"/>
        <v>0</v>
      </c>
      <c r="C657" s="2">
        <f t="shared" si="38"/>
        <v>0</v>
      </c>
      <c r="D657" s="2">
        <f t="shared" si="39"/>
        <v>17.134999999999994</v>
      </c>
    </row>
    <row r="658" spans="1:4" x14ac:dyDescent="0.25">
      <c r="A658">
        <f t="shared" si="37"/>
        <v>12.759999999999817</v>
      </c>
      <c r="B658" s="2">
        <f t="shared" si="36"/>
        <v>0</v>
      </c>
      <c r="C658" s="2">
        <f t="shared" si="38"/>
        <v>0</v>
      </c>
      <c r="D658" s="2">
        <f t="shared" si="39"/>
        <v>17.134999999999994</v>
      </c>
    </row>
    <row r="659" spans="1:4" x14ac:dyDescent="0.25">
      <c r="A659">
        <f t="shared" si="37"/>
        <v>12.779999999999816</v>
      </c>
      <c r="B659" s="2">
        <f t="shared" si="36"/>
        <v>0</v>
      </c>
      <c r="C659" s="2">
        <f t="shared" si="38"/>
        <v>0</v>
      </c>
      <c r="D659" s="2">
        <f t="shared" si="39"/>
        <v>17.134999999999994</v>
      </c>
    </row>
    <row r="660" spans="1:4" x14ac:dyDescent="0.25">
      <c r="A660">
        <f t="shared" si="37"/>
        <v>12.799999999999816</v>
      </c>
      <c r="B660" s="2">
        <f t="shared" si="36"/>
        <v>0</v>
      </c>
      <c r="C660" s="2">
        <f t="shared" si="38"/>
        <v>0</v>
      </c>
      <c r="D660" s="2">
        <f t="shared" si="39"/>
        <v>17.134999999999994</v>
      </c>
    </row>
    <row r="661" spans="1:4" x14ac:dyDescent="0.25">
      <c r="A661">
        <f t="shared" si="37"/>
        <v>12.819999999999816</v>
      </c>
      <c r="B661" s="2">
        <f t="shared" ref="B661:B724" si="40">MAX(0,IF(A661&lt;$B$14,B660+$B$8,IF(AND(A661&gt;=$B$14,A661&lt;=$B$15),$B$11/$B$2,B660-$B$8)))</f>
        <v>0</v>
      </c>
      <c r="C661" s="2">
        <f t="shared" si="38"/>
        <v>0</v>
      </c>
      <c r="D661" s="2">
        <f t="shared" si="39"/>
        <v>17.134999999999994</v>
      </c>
    </row>
    <row r="662" spans="1:4" x14ac:dyDescent="0.25">
      <c r="A662">
        <f t="shared" ref="A662:A725" si="41">A661+$B$1</f>
        <v>12.839999999999815</v>
      </c>
      <c r="B662" s="2">
        <f t="shared" si="40"/>
        <v>0</v>
      </c>
      <c r="C662" s="2">
        <f t="shared" ref="C662:C725" si="42">B662*$B$2</f>
        <v>0</v>
      </c>
      <c r="D662" s="2">
        <f t="shared" ref="D662:D725" si="43">D661+C661*$B$1</f>
        <v>17.134999999999994</v>
      </c>
    </row>
    <row r="663" spans="1:4" x14ac:dyDescent="0.25">
      <c r="A663">
        <f t="shared" si="41"/>
        <v>12.859999999999815</v>
      </c>
      <c r="B663" s="2">
        <f t="shared" si="40"/>
        <v>0</v>
      </c>
      <c r="C663" s="2">
        <f t="shared" si="42"/>
        <v>0</v>
      </c>
      <c r="D663" s="2">
        <f t="shared" si="43"/>
        <v>17.134999999999994</v>
      </c>
    </row>
    <row r="664" spans="1:4" x14ac:dyDescent="0.25">
      <c r="A664">
        <f t="shared" si="41"/>
        <v>12.879999999999814</v>
      </c>
      <c r="B664" s="2">
        <f t="shared" si="40"/>
        <v>0</v>
      </c>
      <c r="C664" s="2">
        <f t="shared" si="42"/>
        <v>0</v>
      </c>
      <c r="D664" s="2">
        <f t="shared" si="43"/>
        <v>17.134999999999994</v>
      </c>
    </row>
    <row r="665" spans="1:4" x14ac:dyDescent="0.25">
      <c r="A665">
        <f t="shared" si="41"/>
        <v>12.899999999999814</v>
      </c>
      <c r="B665" s="2">
        <f t="shared" si="40"/>
        <v>0</v>
      </c>
      <c r="C665" s="2">
        <f t="shared" si="42"/>
        <v>0</v>
      </c>
      <c r="D665" s="2">
        <f t="shared" si="43"/>
        <v>17.134999999999994</v>
      </c>
    </row>
    <row r="666" spans="1:4" x14ac:dyDescent="0.25">
      <c r="A666">
        <f t="shared" si="41"/>
        <v>12.919999999999813</v>
      </c>
      <c r="B666" s="2">
        <f t="shared" si="40"/>
        <v>0</v>
      </c>
      <c r="C666" s="2">
        <f t="shared" si="42"/>
        <v>0</v>
      </c>
      <c r="D666" s="2">
        <f t="shared" si="43"/>
        <v>17.134999999999994</v>
      </c>
    </row>
    <row r="667" spans="1:4" x14ac:dyDescent="0.25">
      <c r="A667">
        <f t="shared" si="41"/>
        <v>12.939999999999813</v>
      </c>
      <c r="B667" s="2">
        <f t="shared" si="40"/>
        <v>0</v>
      </c>
      <c r="C667" s="2">
        <f t="shared" si="42"/>
        <v>0</v>
      </c>
      <c r="D667" s="2">
        <f t="shared" si="43"/>
        <v>17.134999999999994</v>
      </c>
    </row>
    <row r="668" spans="1:4" x14ac:dyDescent="0.25">
      <c r="A668">
        <f t="shared" si="41"/>
        <v>12.959999999999813</v>
      </c>
      <c r="B668" s="2">
        <f t="shared" si="40"/>
        <v>0</v>
      </c>
      <c r="C668" s="2">
        <f t="shared" si="42"/>
        <v>0</v>
      </c>
      <c r="D668" s="2">
        <f t="shared" si="43"/>
        <v>17.134999999999994</v>
      </c>
    </row>
    <row r="669" spans="1:4" x14ac:dyDescent="0.25">
      <c r="A669">
        <f t="shared" si="41"/>
        <v>12.979999999999812</v>
      </c>
      <c r="B669" s="2">
        <f t="shared" si="40"/>
        <v>0</v>
      </c>
      <c r="C669" s="2">
        <f t="shared" si="42"/>
        <v>0</v>
      </c>
      <c r="D669" s="2">
        <f t="shared" si="43"/>
        <v>17.134999999999994</v>
      </c>
    </row>
    <row r="670" spans="1:4" x14ac:dyDescent="0.25">
      <c r="A670">
        <f t="shared" si="41"/>
        <v>12.999999999999812</v>
      </c>
      <c r="B670" s="2">
        <f t="shared" si="40"/>
        <v>0</v>
      </c>
      <c r="C670" s="2">
        <f t="shared" si="42"/>
        <v>0</v>
      </c>
      <c r="D670" s="2">
        <f t="shared" si="43"/>
        <v>17.134999999999994</v>
      </c>
    </row>
    <row r="671" spans="1:4" x14ac:dyDescent="0.25">
      <c r="A671">
        <f t="shared" si="41"/>
        <v>13.019999999999811</v>
      </c>
      <c r="B671" s="2">
        <f t="shared" si="40"/>
        <v>0</v>
      </c>
      <c r="C671" s="2">
        <f t="shared" si="42"/>
        <v>0</v>
      </c>
      <c r="D671" s="2">
        <f t="shared" si="43"/>
        <v>17.134999999999994</v>
      </c>
    </row>
    <row r="672" spans="1:4" x14ac:dyDescent="0.25">
      <c r="A672">
        <f t="shared" si="41"/>
        <v>13.039999999999811</v>
      </c>
      <c r="B672" s="2">
        <f t="shared" si="40"/>
        <v>0</v>
      </c>
      <c r="C672" s="2">
        <f t="shared" si="42"/>
        <v>0</v>
      </c>
      <c r="D672" s="2">
        <f t="shared" si="43"/>
        <v>17.134999999999994</v>
      </c>
    </row>
    <row r="673" spans="1:4" x14ac:dyDescent="0.25">
      <c r="A673">
        <f t="shared" si="41"/>
        <v>13.05999999999981</v>
      </c>
      <c r="B673" s="2">
        <f t="shared" si="40"/>
        <v>0</v>
      </c>
      <c r="C673" s="2">
        <f t="shared" si="42"/>
        <v>0</v>
      </c>
      <c r="D673" s="2">
        <f t="shared" si="43"/>
        <v>17.134999999999994</v>
      </c>
    </row>
    <row r="674" spans="1:4" x14ac:dyDescent="0.25">
      <c r="A674">
        <f t="shared" si="41"/>
        <v>13.07999999999981</v>
      </c>
      <c r="B674" s="2">
        <f t="shared" si="40"/>
        <v>0</v>
      </c>
      <c r="C674" s="2">
        <f t="shared" si="42"/>
        <v>0</v>
      </c>
      <c r="D674" s="2">
        <f t="shared" si="43"/>
        <v>17.134999999999994</v>
      </c>
    </row>
    <row r="675" spans="1:4" x14ac:dyDescent="0.25">
      <c r="A675">
        <f t="shared" si="41"/>
        <v>13.09999999999981</v>
      </c>
      <c r="B675" s="2">
        <f t="shared" si="40"/>
        <v>0</v>
      </c>
      <c r="C675" s="2">
        <f t="shared" si="42"/>
        <v>0</v>
      </c>
      <c r="D675" s="2">
        <f t="shared" si="43"/>
        <v>17.134999999999994</v>
      </c>
    </row>
    <row r="676" spans="1:4" x14ac:dyDescent="0.25">
      <c r="A676">
        <f t="shared" si="41"/>
        <v>13.119999999999809</v>
      </c>
      <c r="B676" s="2">
        <f t="shared" si="40"/>
        <v>0</v>
      </c>
      <c r="C676" s="2">
        <f t="shared" si="42"/>
        <v>0</v>
      </c>
      <c r="D676" s="2">
        <f t="shared" si="43"/>
        <v>17.134999999999994</v>
      </c>
    </row>
    <row r="677" spans="1:4" x14ac:dyDescent="0.25">
      <c r="A677">
        <f t="shared" si="41"/>
        <v>13.139999999999809</v>
      </c>
      <c r="B677" s="2">
        <f t="shared" si="40"/>
        <v>0</v>
      </c>
      <c r="C677" s="2">
        <f t="shared" si="42"/>
        <v>0</v>
      </c>
      <c r="D677" s="2">
        <f t="shared" si="43"/>
        <v>17.134999999999994</v>
      </c>
    </row>
    <row r="678" spans="1:4" x14ac:dyDescent="0.25">
      <c r="A678">
        <f t="shared" si="41"/>
        <v>13.159999999999808</v>
      </c>
      <c r="B678" s="2">
        <f t="shared" si="40"/>
        <v>0</v>
      </c>
      <c r="C678" s="2">
        <f t="shared" si="42"/>
        <v>0</v>
      </c>
      <c r="D678" s="2">
        <f t="shared" si="43"/>
        <v>17.134999999999994</v>
      </c>
    </row>
    <row r="679" spans="1:4" x14ac:dyDescent="0.25">
      <c r="A679">
        <f t="shared" si="41"/>
        <v>13.179999999999808</v>
      </c>
      <c r="B679" s="2">
        <f t="shared" si="40"/>
        <v>0</v>
      </c>
      <c r="C679" s="2">
        <f t="shared" si="42"/>
        <v>0</v>
      </c>
      <c r="D679" s="2">
        <f t="shared" si="43"/>
        <v>17.134999999999994</v>
      </c>
    </row>
    <row r="680" spans="1:4" x14ac:dyDescent="0.25">
      <c r="A680">
        <f t="shared" si="41"/>
        <v>13.199999999999807</v>
      </c>
      <c r="B680" s="2">
        <f t="shared" si="40"/>
        <v>0</v>
      </c>
      <c r="C680" s="2">
        <f t="shared" si="42"/>
        <v>0</v>
      </c>
      <c r="D680" s="2">
        <f t="shared" si="43"/>
        <v>17.134999999999994</v>
      </c>
    </row>
    <row r="681" spans="1:4" x14ac:dyDescent="0.25">
      <c r="A681">
        <f t="shared" si="41"/>
        <v>13.219999999999807</v>
      </c>
      <c r="B681" s="2">
        <f t="shared" si="40"/>
        <v>0</v>
      </c>
      <c r="C681" s="2">
        <f t="shared" si="42"/>
        <v>0</v>
      </c>
      <c r="D681" s="2">
        <f t="shared" si="43"/>
        <v>17.134999999999994</v>
      </c>
    </row>
    <row r="682" spans="1:4" x14ac:dyDescent="0.25">
      <c r="A682">
        <f t="shared" si="41"/>
        <v>13.239999999999807</v>
      </c>
      <c r="B682" s="2">
        <f t="shared" si="40"/>
        <v>0</v>
      </c>
      <c r="C682" s="2">
        <f t="shared" si="42"/>
        <v>0</v>
      </c>
      <c r="D682" s="2">
        <f t="shared" si="43"/>
        <v>17.134999999999994</v>
      </c>
    </row>
    <row r="683" spans="1:4" x14ac:dyDescent="0.25">
      <c r="A683">
        <f t="shared" si="41"/>
        <v>13.259999999999806</v>
      </c>
      <c r="B683" s="2">
        <f t="shared" si="40"/>
        <v>0</v>
      </c>
      <c r="C683" s="2">
        <f t="shared" si="42"/>
        <v>0</v>
      </c>
      <c r="D683" s="2">
        <f t="shared" si="43"/>
        <v>17.134999999999994</v>
      </c>
    </row>
    <row r="684" spans="1:4" x14ac:dyDescent="0.25">
      <c r="A684">
        <f t="shared" si="41"/>
        <v>13.279999999999806</v>
      </c>
      <c r="B684" s="2">
        <f t="shared" si="40"/>
        <v>0</v>
      </c>
      <c r="C684" s="2">
        <f t="shared" si="42"/>
        <v>0</v>
      </c>
      <c r="D684" s="2">
        <f t="shared" si="43"/>
        <v>17.134999999999994</v>
      </c>
    </row>
    <row r="685" spans="1:4" x14ac:dyDescent="0.25">
      <c r="A685">
        <f t="shared" si="41"/>
        <v>13.299999999999805</v>
      </c>
      <c r="B685" s="2">
        <f t="shared" si="40"/>
        <v>0</v>
      </c>
      <c r="C685" s="2">
        <f t="shared" si="42"/>
        <v>0</v>
      </c>
      <c r="D685" s="2">
        <f t="shared" si="43"/>
        <v>17.134999999999994</v>
      </c>
    </row>
    <row r="686" spans="1:4" x14ac:dyDescent="0.25">
      <c r="A686">
        <f t="shared" si="41"/>
        <v>13.319999999999805</v>
      </c>
      <c r="B686" s="2">
        <f t="shared" si="40"/>
        <v>0</v>
      </c>
      <c r="C686" s="2">
        <f t="shared" si="42"/>
        <v>0</v>
      </c>
      <c r="D686" s="2">
        <f t="shared" si="43"/>
        <v>17.134999999999994</v>
      </c>
    </row>
    <row r="687" spans="1:4" x14ac:dyDescent="0.25">
      <c r="A687">
        <f t="shared" si="41"/>
        <v>13.339999999999804</v>
      </c>
      <c r="B687" s="2">
        <f t="shared" si="40"/>
        <v>0</v>
      </c>
      <c r="C687" s="2">
        <f t="shared" si="42"/>
        <v>0</v>
      </c>
      <c r="D687" s="2">
        <f t="shared" si="43"/>
        <v>17.134999999999994</v>
      </c>
    </row>
    <row r="688" spans="1:4" x14ac:dyDescent="0.25">
      <c r="A688">
        <f t="shared" si="41"/>
        <v>13.359999999999804</v>
      </c>
      <c r="B688" s="2">
        <f t="shared" si="40"/>
        <v>0</v>
      </c>
      <c r="C688" s="2">
        <f t="shared" si="42"/>
        <v>0</v>
      </c>
      <c r="D688" s="2">
        <f t="shared" si="43"/>
        <v>17.134999999999994</v>
      </c>
    </row>
    <row r="689" spans="1:4" x14ac:dyDescent="0.25">
      <c r="A689">
        <f t="shared" si="41"/>
        <v>13.379999999999804</v>
      </c>
      <c r="B689" s="2">
        <f t="shared" si="40"/>
        <v>0</v>
      </c>
      <c r="C689" s="2">
        <f t="shared" si="42"/>
        <v>0</v>
      </c>
      <c r="D689" s="2">
        <f t="shared" si="43"/>
        <v>17.134999999999994</v>
      </c>
    </row>
    <row r="690" spans="1:4" x14ac:dyDescent="0.25">
      <c r="A690">
        <f t="shared" si="41"/>
        <v>13.399999999999803</v>
      </c>
      <c r="B690" s="2">
        <f t="shared" si="40"/>
        <v>0</v>
      </c>
      <c r="C690" s="2">
        <f t="shared" si="42"/>
        <v>0</v>
      </c>
      <c r="D690" s="2">
        <f t="shared" si="43"/>
        <v>17.134999999999994</v>
      </c>
    </row>
    <row r="691" spans="1:4" x14ac:dyDescent="0.25">
      <c r="A691">
        <f t="shared" si="41"/>
        <v>13.419999999999803</v>
      </c>
      <c r="B691" s="2">
        <f t="shared" si="40"/>
        <v>0</v>
      </c>
      <c r="C691" s="2">
        <f t="shared" si="42"/>
        <v>0</v>
      </c>
      <c r="D691" s="2">
        <f t="shared" si="43"/>
        <v>17.134999999999994</v>
      </c>
    </row>
    <row r="692" spans="1:4" x14ac:dyDescent="0.25">
      <c r="A692">
        <f t="shared" si="41"/>
        <v>13.439999999999802</v>
      </c>
      <c r="B692" s="2">
        <f t="shared" si="40"/>
        <v>0</v>
      </c>
      <c r="C692" s="2">
        <f t="shared" si="42"/>
        <v>0</v>
      </c>
      <c r="D692" s="2">
        <f t="shared" si="43"/>
        <v>17.134999999999994</v>
      </c>
    </row>
    <row r="693" spans="1:4" x14ac:dyDescent="0.25">
      <c r="A693">
        <f t="shared" si="41"/>
        <v>13.459999999999802</v>
      </c>
      <c r="B693" s="2">
        <f t="shared" si="40"/>
        <v>0</v>
      </c>
      <c r="C693" s="2">
        <f t="shared" si="42"/>
        <v>0</v>
      </c>
      <c r="D693" s="2">
        <f t="shared" si="43"/>
        <v>17.134999999999994</v>
      </c>
    </row>
    <row r="694" spans="1:4" x14ac:dyDescent="0.25">
      <c r="A694">
        <f t="shared" si="41"/>
        <v>13.479999999999801</v>
      </c>
      <c r="B694" s="2">
        <f t="shared" si="40"/>
        <v>0</v>
      </c>
      <c r="C694" s="2">
        <f t="shared" si="42"/>
        <v>0</v>
      </c>
      <c r="D694" s="2">
        <f t="shared" si="43"/>
        <v>17.134999999999994</v>
      </c>
    </row>
    <row r="695" spans="1:4" x14ac:dyDescent="0.25">
      <c r="A695">
        <f t="shared" si="41"/>
        <v>13.499999999999801</v>
      </c>
      <c r="B695" s="2">
        <f t="shared" si="40"/>
        <v>0</v>
      </c>
      <c r="C695" s="2">
        <f t="shared" si="42"/>
        <v>0</v>
      </c>
      <c r="D695" s="2">
        <f t="shared" si="43"/>
        <v>17.134999999999994</v>
      </c>
    </row>
    <row r="696" spans="1:4" x14ac:dyDescent="0.25">
      <c r="A696">
        <f t="shared" si="41"/>
        <v>13.519999999999801</v>
      </c>
      <c r="B696" s="2">
        <f t="shared" si="40"/>
        <v>0</v>
      </c>
      <c r="C696" s="2">
        <f t="shared" si="42"/>
        <v>0</v>
      </c>
      <c r="D696" s="2">
        <f t="shared" si="43"/>
        <v>17.134999999999994</v>
      </c>
    </row>
    <row r="697" spans="1:4" x14ac:dyDescent="0.25">
      <c r="A697">
        <f t="shared" si="41"/>
        <v>13.5399999999998</v>
      </c>
      <c r="B697" s="2">
        <f t="shared" si="40"/>
        <v>0</v>
      </c>
      <c r="C697" s="2">
        <f t="shared" si="42"/>
        <v>0</v>
      </c>
      <c r="D697" s="2">
        <f t="shared" si="43"/>
        <v>17.134999999999994</v>
      </c>
    </row>
    <row r="698" spans="1:4" x14ac:dyDescent="0.25">
      <c r="A698">
        <f t="shared" si="41"/>
        <v>13.5599999999998</v>
      </c>
      <c r="B698" s="2">
        <f t="shared" si="40"/>
        <v>0</v>
      </c>
      <c r="C698" s="2">
        <f t="shared" si="42"/>
        <v>0</v>
      </c>
      <c r="D698" s="2">
        <f t="shared" si="43"/>
        <v>17.134999999999994</v>
      </c>
    </row>
    <row r="699" spans="1:4" x14ac:dyDescent="0.25">
      <c r="A699">
        <f t="shared" si="41"/>
        <v>13.579999999999799</v>
      </c>
      <c r="B699" s="2">
        <f t="shared" si="40"/>
        <v>0</v>
      </c>
      <c r="C699" s="2">
        <f t="shared" si="42"/>
        <v>0</v>
      </c>
      <c r="D699" s="2">
        <f t="shared" si="43"/>
        <v>17.134999999999994</v>
      </c>
    </row>
    <row r="700" spans="1:4" x14ac:dyDescent="0.25">
      <c r="A700">
        <f t="shared" si="41"/>
        <v>13.599999999999799</v>
      </c>
      <c r="B700" s="2">
        <f t="shared" si="40"/>
        <v>0</v>
      </c>
      <c r="C700" s="2">
        <f t="shared" si="42"/>
        <v>0</v>
      </c>
      <c r="D700" s="2">
        <f t="shared" si="43"/>
        <v>17.134999999999994</v>
      </c>
    </row>
    <row r="701" spans="1:4" x14ac:dyDescent="0.25">
      <c r="A701">
        <f t="shared" si="41"/>
        <v>13.619999999999798</v>
      </c>
      <c r="B701" s="2">
        <f t="shared" si="40"/>
        <v>0</v>
      </c>
      <c r="C701" s="2">
        <f t="shared" si="42"/>
        <v>0</v>
      </c>
      <c r="D701" s="2">
        <f t="shared" si="43"/>
        <v>17.134999999999994</v>
      </c>
    </row>
    <row r="702" spans="1:4" x14ac:dyDescent="0.25">
      <c r="A702">
        <f t="shared" si="41"/>
        <v>13.639999999999798</v>
      </c>
      <c r="B702" s="2">
        <f t="shared" si="40"/>
        <v>0</v>
      </c>
      <c r="C702" s="2">
        <f t="shared" si="42"/>
        <v>0</v>
      </c>
      <c r="D702" s="2">
        <f t="shared" si="43"/>
        <v>17.134999999999994</v>
      </c>
    </row>
    <row r="703" spans="1:4" x14ac:dyDescent="0.25">
      <c r="A703">
        <f t="shared" si="41"/>
        <v>13.659999999999798</v>
      </c>
      <c r="B703" s="2">
        <f t="shared" si="40"/>
        <v>0</v>
      </c>
      <c r="C703" s="2">
        <f t="shared" si="42"/>
        <v>0</v>
      </c>
      <c r="D703" s="2">
        <f t="shared" si="43"/>
        <v>17.134999999999994</v>
      </c>
    </row>
    <row r="704" spans="1:4" x14ac:dyDescent="0.25">
      <c r="A704">
        <f t="shared" si="41"/>
        <v>13.679999999999797</v>
      </c>
      <c r="B704" s="2">
        <f t="shared" si="40"/>
        <v>0</v>
      </c>
      <c r="C704" s="2">
        <f t="shared" si="42"/>
        <v>0</v>
      </c>
      <c r="D704" s="2">
        <f t="shared" si="43"/>
        <v>17.134999999999994</v>
      </c>
    </row>
    <row r="705" spans="1:4" x14ac:dyDescent="0.25">
      <c r="A705">
        <f t="shared" si="41"/>
        <v>13.699999999999797</v>
      </c>
      <c r="B705" s="2">
        <f t="shared" si="40"/>
        <v>0</v>
      </c>
      <c r="C705" s="2">
        <f t="shared" si="42"/>
        <v>0</v>
      </c>
      <c r="D705" s="2">
        <f t="shared" si="43"/>
        <v>17.134999999999994</v>
      </c>
    </row>
    <row r="706" spans="1:4" x14ac:dyDescent="0.25">
      <c r="A706">
        <f t="shared" si="41"/>
        <v>13.719999999999796</v>
      </c>
      <c r="B706" s="2">
        <f t="shared" si="40"/>
        <v>0</v>
      </c>
      <c r="C706" s="2">
        <f t="shared" si="42"/>
        <v>0</v>
      </c>
      <c r="D706" s="2">
        <f t="shared" si="43"/>
        <v>17.134999999999994</v>
      </c>
    </row>
    <row r="707" spans="1:4" x14ac:dyDescent="0.25">
      <c r="A707">
        <f t="shared" si="41"/>
        <v>13.739999999999796</v>
      </c>
      <c r="B707" s="2">
        <f t="shared" si="40"/>
        <v>0</v>
      </c>
      <c r="C707" s="2">
        <f t="shared" si="42"/>
        <v>0</v>
      </c>
      <c r="D707" s="2">
        <f t="shared" si="43"/>
        <v>17.134999999999994</v>
      </c>
    </row>
    <row r="708" spans="1:4" x14ac:dyDescent="0.25">
      <c r="A708">
        <f t="shared" si="41"/>
        <v>13.759999999999796</v>
      </c>
      <c r="B708" s="2">
        <f t="shared" si="40"/>
        <v>0</v>
      </c>
      <c r="C708" s="2">
        <f t="shared" si="42"/>
        <v>0</v>
      </c>
      <c r="D708" s="2">
        <f t="shared" si="43"/>
        <v>17.134999999999994</v>
      </c>
    </row>
    <row r="709" spans="1:4" x14ac:dyDescent="0.25">
      <c r="A709">
        <f t="shared" si="41"/>
        <v>13.779999999999795</v>
      </c>
      <c r="B709" s="2">
        <f t="shared" si="40"/>
        <v>0</v>
      </c>
      <c r="C709" s="2">
        <f t="shared" si="42"/>
        <v>0</v>
      </c>
      <c r="D709" s="2">
        <f t="shared" si="43"/>
        <v>17.134999999999994</v>
      </c>
    </row>
    <row r="710" spans="1:4" x14ac:dyDescent="0.25">
      <c r="A710">
        <f t="shared" si="41"/>
        <v>13.799999999999795</v>
      </c>
      <c r="B710" s="2">
        <f t="shared" si="40"/>
        <v>0</v>
      </c>
      <c r="C710" s="2">
        <f t="shared" si="42"/>
        <v>0</v>
      </c>
      <c r="D710" s="2">
        <f t="shared" si="43"/>
        <v>17.134999999999994</v>
      </c>
    </row>
    <row r="711" spans="1:4" x14ac:dyDescent="0.25">
      <c r="A711">
        <f t="shared" si="41"/>
        <v>13.819999999999794</v>
      </c>
      <c r="B711" s="2">
        <f t="shared" si="40"/>
        <v>0</v>
      </c>
      <c r="C711" s="2">
        <f t="shared" si="42"/>
        <v>0</v>
      </c>
      <c r="D711" s="2">
        <f t="shared" si="43"/>
        <v>17.134999999999994</v>
      </c>
    </row>
    <row r="712" spans="1:4" x14ac:dyDescent="0.25">
      <c r="A712">
        <f t="shared" si="41"/>
        <v>13.839999999999794</v>
      </c>
      <c r="B712" s="2">
        <f t="shared" si="40"/>
        <v>0</v>
      </c>
      <c r="C712" s="2">
        <f t="shared" si="42"/>
        <v>0</v>
      </c>
      <c r="D712" s="2">
        <f t="shared" si="43"/>
        <v>17.134999999999994</v>
      </c>
    </row>
    <row r="713" spans="1:4" x14ac:dyDescent="0.25">
      <c r="A713">
        <f t="shared" si="41"/>
        <v>13.859999999999793</v>
      </c>
      <c r="B713" s="2">
        <f t="shared" si="40"/>
        <v>0</v>
      </c>
      <c r="C713" s="2">
        <f t="shared" si="42"/>
        <v>0</v>
      </c>
      <c r="D713" s="2">
        <f t="shared" si="43"/>
        <v>17.134999999999994</v>
      </c>
    </row>
    <row r="714" spans="1:4" x14ac:dyDescent="0.25">
      <c r="A714">
        <f t="shared" si="41"/>
        <v>13.879999999999793</v>
      </c>
      <c r="B714" s="2">
        <f t="shared" si="40"/>
        <v>0</v>
      </c>
      <c r="C714" s="2">
        <f t="shared" si="42"/>
        <v>0</v>
      </c>
      <c r="D714" s="2">
        <f t="shared" si="43"/>
        <v>17.134999999999994</v>
      </c>
    </row>
    <row r="715" spans="1:4" x14ac:dyDescent="0.25">
      <c r="A715">
        <f t="shared" si="41"/>
        <v>13.899999999999793</v>
      </c>
      <c r="B715" s="2">
        <f t="shared" si="40"/>
        <v>0</v>
      </c>
      <c r="C715" s="2">
        <f t="shared" si="42"/>
        <v>0</v>
      </c>
      <c r="D715" s="2">
        <f t="shared" si="43"/>
        <v>17.134999999999994</v>
      </c>
    </row>
    <row r="716" spans="1:4" x14ac:dyDescent="0.25">
      <c r="A716">
        <f t="shared" si="41"/>
        <v>13.919999999999792</v>
      </c>
      <c r="B716" s="2">
        <f t="shared" si="40"/>
        <v>0</v>
      </c>
      <c r="C716" s="2">
        <f t="shared" si="42"/>
        <v>0</v>
      </c>
      <c r="D716" s="2">
        <f t="shared" si="43"/>
        <v>17.134999999999994</v>
      </c>
    </row>
    <row r="717" spans="1:4" x14ac:dyDescent="0.25">
      <c r="A717">
        <f t="shared" si="41"/>
        <v>13.939999999999792</v>
      </c>
      <c r="B717" s="2">
        <f t="shared" si="40"/>
        <v>0</v>
      </c>
      <c r="C717" s="2">
        <f t="shared" si="42"/>
        <v>0</v>
      </c>
      <c r="D717" s="2">
        <f t="shared" si="43"/>
        <v>17.134999999999994</v>
      </c>
    </row>
    <row r="718" spans="1:4" x14ac:dyDescent="0.25">
      <c r="A718">
        <f t="shared" si="41"/>
        <v>13.959999999999791</v>
      </c>
      <c r="B718" s="2">
        <f t="shared" si="40"/>
        <v>0</v>
      </c>
      <c r="C718" s="2">
        <f t="shared" si="42"/>
        <v>0</v>
      </c>
      <c r="D718" s="2">
        <f t="shared" si="43"/>
        <v>17.134999999999994</v>
      </c>
    </row>
    <row r="719" spans="1:4" x14ac:dyDescent="0.25">
      <c r="A719">
        <f t="shared" si="41"/>
        <v>13.979999999999791</v>
      </c>
      <c r="B719" s="2">
        <f t="shared" si="40"/>
        <v>0</v>
      </c>
      <c r="C719" s="2">
        <f t="shared" si="42"/>
        <v>0</v>
      </c>
      <c r="D719" s="2">
        <f t="shared" si="43"/>
        <v>17.134999999999994</v>
      </c>
    </row>
    <row r="720" spans="1:4" x14ac:dyDescent="0.25">
      <c r="A720">
        <f t="shared" si="41"/>
        <v>13.99999999999979</v>
      </c>
      <c r="B720" s="2">
        <f t="shared" si="40"/>
        <v>0</v>
      </c>
      <c r="C720" s="2">
        <f t="shared" si="42"/>
        <v>0</v>
      </c>
      <c r="D720" s="2">
        <f t="shared" si="43"/>
        <v>17.134999999999994</v>
      </c>
    </row>
    <row r="721" spans="1:4" x14ac:dyDescent="0.25">
      <c r="A721">
        <f t="shared" si="41"/>
        <v>14.01999999999979</v>
      </c>
      <c r="B721" s="2">
        <f t="shared" si="40"/>
        <v>0</v>
      </c>
      <c r="C721" s="2">
        <f t="shared" si="42"/>
        <v>0</v>
      </c>
      <c r="D721" s="2">
        <f t="shared" si="43"/>
        <v>17.134999999999994</v>
      </c>
    </row>
    <row r="722" spans="1:4" x14ac:dyDescent="0.25">
      <c r="A722">
        <f t="shared" si="41"/>
        <v>14.03999999999979</v>
      </c>
      <c r="B722" s="2">
        <f t="shared" si="40"/>
        <v>0</v>
      </c>
      <c r="C722" s="2">
        <f t="shared" si="42"/>
        <v>0</v>
      </c>
      <c r="D722" s="2">
        <f t="shared" si="43"/>
        <v>17.134999999999994</v>
      </c>
    </row>
    <row r="723" spans="1:4" x14ac:dyDescent="0.25">
      <c r="A723">
        <f t="shared" si="41"/>
        <v>14.059999999999789</v>
      </c>
      <c r="B723" s="2">
        <f t="shared" si="40"/>
        <v>0</v>
      </c>
      <c r="C723" s="2">
        <f t="shared" si="42"/>
        <v>0</v>
      </c>
      <c r="D723" s="2">
        <f t="shared" si="43"/>
        <v>17.134999999999994</v>
      </c>
    </row>
    <row r="724" spans="1:4" x14ac:dyDescent="0.25">
      <c r="A724">
        <f t="shared" si="41"/>
        <v>14.079999999999789</v>
      </c>
      <c r="B724" s="2">
        <f t="shared" si="40"/>
        <v>0</v>
      </c>
      <c r="C724" s="2">
        <f t="shared" si="42"/>
        <v>0</v>
      </c>
      <c r="D724" s="2">
        <f t="shared" si="43"/>
        <v>17.134999999999994</v>
      </c>
    </row>
    <row r="725" spans="1:4" x14ac:dyDescent="0.25">
      <c r="A725">
        <f t="shared" si="41"/>
        <v>14.099999999999788</v>
      </c>
      <c r="B725" s="2">
        <f t="shared" ref="B725:B731" si="44">MAX(0,IF(A725&lt;$B$14,B724+$B$8,IF(AND(A725&gt;=$B$14,A725&lt;=$B$15),$B$11/$B$2,B724-$B$8)))</f>
        <v>0</v>
      </c>
      <c r="C725" s="2">
        <f t="shared" si="42"/>
        <v>0</v>
      </c>
      <c r="D725" s="2">
        <f t="shared" si="43"/>
        <v>17.134999999999994</v>
      </c>
    </row>
    <row r="726" spans="1:4" x14ac:dyDescent="0.25">
      <c r="A726">
        <f t="shared" ref="A726:A731" si="45">A725+$B$1</f>
        <v>14.119999999999788</v>
      </c>
      <c r="B726" s="2">
        <f t="shared" si="44"/>
        <v>0</v>
      </c>
      <c r="C726" s="2">
        <f t="shared" ref="C726:C731" si="46">B726*$B$2</f>
        <v>0</v>
      </c>
      <c r="D726" s="2">
        <f t="shared" ref="D726:D731" si="47">D725+C725*$B$1</f>
        <v>17.134999999999994</v>
      </c>
    </row>
    <row r="727" spans="1:4" x14ac:dyDescent="0.25">
      <c r="A727">
        <f t="shared" si="45"/>
        <v>14.139999999999787</v>
      </c>
      <c r="B727" s="2">
        <f t="shared" si="44"/>
        <v>0</v>
      </c>
      <c r="C727" s="2">
        <f t="shared" si="46"/>
        <v>0</v>
      </c>
      <c r="D727" s="2">
        <f t="shared" si="47"/>
        <v>17.134999999999994</v>
      </c>
    </row>
    <row r="728" spans="1:4" x14ac:dyDescent="0.25">
      <c r="A728">
        <f t="shared" si="45"/>
        <v>14.159999999999787</v>
      </c>
      <c r="B728" s="2">
        <f t="shared" si="44"/>
        <v>0</v>
      </c>
      <c r="C728" s="2">
        <f t="shared" si="46"/>
        <v>0</v>
      </c>
      <c r="D728" s="2">
        <f t="shared" si="47"/>
        <v>17.134999999999994</v>
      </c>
    </row>
    <row r="729" spans="1:4" x14ac:dyDescent="0.25">
      <c r="A729">
        <f t="shared" si="45"/>
        <v>14.179999999999787</v>
      </c>
      <c r="B729" s="2">
        <f t="shared" si="44"/>
        <v>0</v>
      </c>
      <c r="C729" s="2">
        <f t="shared" si="46"/>
        <v>0</v>
      </c>
      <c r="D729" s="2">
        <f t="shared" si="47"/>
        <v>17.134999999999994</v>
      </c>
    </row>
    <row r="730" spans="1:4" x14ac:dyDescent="0.25">
      <c r="A730">
        <f t="shared" si="45"/>
        <v>14.199999999999786</v>
      </c>
      <c r="B730" s="2">
        <f t="shared" si="44"/>
        <v>0</v>
      </c>
      <c r="C730" s="2">
        <f t="shared" si="46"/>
        <v>0</v>
      </c>
      <c r="D730" s="2">
        <f t="shared" si="47"/>
        <v>17.134999999999994</v>
      </c>
    </row>
    <row r="731" spans="1:4" x14ac:dyDescent="0.25">
      <c r="A731">
        <f t="shared" si="45"/>
        <v>14.219999999999786</v>
      </c>
      <c r="B731" s="2">
        <f t="shared" si="44"/>
        <v>0</v>
      </c>
      <c r="C731" s="2">
        <f t="shared" si="46"/>
        <v>0</v>
      </c>
      <c r="D731" s="2">
        <f t="shared" si="47"/>
        <v>17.134999999999994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CFCEB-DB95-4613-9477-744B0030A0CC}">
  <sheetPr codeName="Sheet8"/>
  <dimension ref="B2:L33"/>
  <sheetViews>
    <sheetView showGridLines="0" zoomScaleNormal="100" workbookViewId="0">
      <selection activeCell="E25" sqref="E25"/>
    </sheetView>
  </sheetViews>
  <sheetFormatPr defaultRowHeight="15" x14ac:dyDescent="0.25"/>
  <cols>
    <col min="3" max="3" width="12.5703125" customWidth="1"/>
    <col min="4" max="4" width="11.28515625" customWidth="1"/>
    <col min="5" max="5" width="4.5703125" bestFit="1" customWidth="1"/>
    <col min="6" max="6" width="5.5703125" bestFit="1" customWidth="1"/>
    <col min="7" max="7" width="6.5703125" bestFit="1" customWidth="1"/>
    <col min="8" max="8" width="7.5703125" bestFit="1" customWidth="1"/>
    <col min="9" max="9" width="9.140625" bestFit="1" customWidth="1"/>
    <col min="10" max="10" width="10.140625" bestFit="1" customWidth="1"/>
    <col min="11" max="11" width="11.140625" bestFit="1" customWidth="1"/>
    <col min="12" max="12" width="12.7109375" bestFit="1" customWidth="1"/>
  </cols>
  <sheetData>
    <row r="2" spans="8:8" ht="36" x14ac:dyDescent="0.55000000000000004">
      <c r="H2" s="19" t="s">
        <v>53</v>
      </c>
    </row>
    <row r="22" spans="2:12" x14ac:dyDescent="0.25">
      <c r="E22" s="53" t="s">
        <v>54</v>
      </c>
      <c r="F22" s="53"/>
      <c r="G22" s="53"/>
      <c r="H22" s="53"/>
      <c r="I22" s="53"/>
      <c r="J22" s="53"/>
      <c r="K22" s="53"/>
      <c r="L22" s="53"/>
    </row>
    <row r="23" spans="2:12" ht="30.75" customHeight="1" x14ac:dyDescent="0.25">
      <c r="B23" s="20"/>
      <c r="C23" s="21" t="s">
        <v>55</v>
      </c>
      <c r="D23" s="21" t="s">
        <v>56</v>
      </c>
      <c r="E23" s="22">
        <v>100</v>
      </c>
      <c r="F23" s="22">
        <v>1000</v>
      </c>
      <c r="G23" s="22">
        <v>10000</v>
      </c>
      <c r="H23" s="22">
        <v>100000</v>
      </c>
      <c r="I23" s="22">
        <v>1000000</v>
      </c>
      <c r="J23" s="22">
        <v>10000000</v>
      </c>
      <c r="K23" s="22">
        <v>100000000</v>
      </c>
      <c r="L23" s="22">
        <v>1000000000</v>
      </c>
    </row>
    <row r="24" spans="2:12" x14ac:dyDescent="0.25">
      <c r="B24" s="23" t="s">
        <v>57</v>
      </c>
      <c r="C24" s="24">
        <v>0.68268949213700003</v>
      </c>
      <c r="D24" s="24">
        <f>100%-C24</f>
        <v>0.31731050786299997</v>
      </c>
      <c r="E24" s="25">
        <f>$D24*E$23</f>
        <v>31.731050786299996</v>
      </c>
      <c r="F24" s="25">
        <f t="shared" ref="F24:L28" si="0">$D24*F$23</f>
        <v>317.31050786299994</v>
      </c>
      <c r="G24" s="25">
        <f t="shared" si="0"/>
        <v>3173.1050786299998</v>
      </c>
      <c r="H24" s="25">
        <f t="shared" si="0"/>
        <v>31731.050786299998</v>
      </c>
      <c r="I24" s="25">
        <f t="shared" si="0"/>
        <v>317310.50786299998</v>
      </c>
      <c r="J24" s="25">
        <f>$D24*J$23</f>
        <v>3173105.0786299999</v>
      </c>
      <c r="K24" s="25">
        <f t="shared" si="0"/>
        <v>31731050.786299996</v>
      </c>
      <c r="L24" s="25">
        <f t="shared" si="0"/>
        <v>317310507.86299998</v>
      </c>
    </row>
    <row r="25" spans="2:12" x14ac:dyDescent="0.25">
      <c r="B25" s="26" t="s">
        <v>58</v>
      </c>
      <c r="C25" s="24">
        <v>0.95449973610399996</v>
      </c>
      <c r="D25" s="24">
        <f>100%-C25</f>
        <v>4.5500263896000037E-2</v>
      </c>
      <c r="E25" s="25">
        <f>$D25*E$23</f>
        <v>4.5500263896000037</v>
      </c>
      <c r="F25" s="25">
        <f t="shared" si="0"/>
        <v>45.500263896000035</v>
      </c>
      <c r="G25" s="25">
        <f t="shared" si="0"/>
        <v>455.00263896000035</v>
      </c>
      <c r="H25" s="25">
        <f t="shared" si="0"/>
        <v>4550.0263896000033</v>
      </c>
      <c r="I25" s="25">
        <f t="shared" si="0"/>
        <v>45500.26389600004</v>
      </c>
      <c r="J25" s="25">
        <f>$D25*J$23</f>
        <v>455002.63896000036</v>
      </c>
      <c r="K25" s="25">
        <f t="shared" si="0"/>
        <v>4550026.3896000041</v>
      </c>
      <c r="L25" s="25">
        <f t="shared" si="0"/>
        <v>45500263.896000035</v>
      </c>
    </row>
    <row r="26" spans="2:12" x14ac:dyDescent="0.25">
      <c r="B26" s="23" t="s">
        <v>59</v>
      </c>
      <c r="C26" s="24">
        <v>0.99730020393700003</v>
      </c>
      <c r="D26" s="24">
        <f>100%-C26</f>
        <v>2.6997960629999707E-3</v>
      </c>
      <c r="E26" s="27"/>
      <c r="F26" s="25">
        <f>$D26*F$23</f>
        <v>2.6997960629999707</v>
      </c>
      <c r="G26" s="25">
        <f t="shared" si="0"/>
        <v>26.997960629999707</v>
      </c>
      <c r="H26" s="25">
        <f t="shared" si="0"/>
        <v>269.97960629999704</v>
      </c>
      <c r="I26" s="25">
        <f t="shared" si="0"/>
        <v>2699.7960629999707</v>
      </c>
      <c r="J26" s="25">
        <f>$D26*J$23</f>
        <v>26997.960629999707</v>
      </c>
      <c r="K26" s="25">
        <f t="shared" si="0"/>
        <v>269979.60629999707</v>
      </c>
      <c r="L26" s="25">
        <f t="shared" si="0"/>
        <v>2699796.0629999707</v>
      </c>
    </row>
    <row r="27" spans="2:12" x14ac:dyDescent="0.25">
      <c r="B27" s="26" t="s">
        <v>60</v>
      </c>
      <c r="C27" s="28">
        <v>0.99993665751600003</v>
      </c>
      <c r="D27" s="28">
        <f t="shared" ref="D27:D29" si="1">100%-C27</f>
        <v>6.3342483999972998E-5</v>
      </c>
      <c r="E27" s="27"/>
      <c r="F27" s="27"/>
      <c r="G27" s="25">
        <f>$D27*G$23</f>
        <v>0.63342483999972998</v>
      </c>
      <c r="H27" s="25">
        <f>$D27*H$23</f>
        <v>6.3342483999972998</v>
      </c>
      <c r="I27" s="25">
        <f>$D27*I$23</f>
        <v>63.342483999972998</v>
      </c>
      <c r="J27" s="25">
        <f>$D27*J$23</f>
        <v>633.42483999973001</v>
      </c>
      <c r="K27" s="25">
        <f t="shared" si="0"/>
        <v>6334.2483999973001</v>
      </c>
      <c r="L27" s="25">
        <f t="shared" si="0"/>
        <v>63342.483999972996</v>
      </c>
    </row>
    <row r="28" spans="2:12" x14ac:dyDescent="0.25">
      <c r="B28" s="23" t="s">
        <v>61</v>
      </c>
      <c r="C28" s="29">
        <v>0.99999942669700004</v>
      </c>
      <c r="D28" s="29">
        <f t="shared" si="1"/>
        <v>5.7330299996216638E-7</v>
      </c>
      <c r="E28" s="27"/>
      <c r="F28" s="27"/>
      <c r="G28" s="27"/>
      <c r="H28" s="27"/>
      <c r="I28" s="25">
        <f>$D28*I$23</f>
        <v>0.57330299996216638</v>
      </c>
      <c r="J28" s="25">
        <f>$D28*J$23</f>
        <v>5.7330299996216638</v>
      </c>
      <c r="K28" s="25">
        <f t="shared" si="0"/>
        <v>57.330299996216638</v>
      </c>
      <c r="L28" s="25">
        <f t="shared" si="0"/>
        <v>573.30299996216638</v>
      </c>
    </row>
    <row r="29" spans="2:12" x14ac:dyDescent="0.25">
      <c r="B29" s="26" t="s">
        <v>62</v>
      </c>
      <c r="C29" s="30">
        <v>0.99999999802700001</v>
      </c>
      <c r="D29" s="30">
        <f t="shared" si="1"/>
        <v>1.972999985611068E-9</v>
      </c>
      <c r="E29" s="27"/>
      <c r="F29" s="27"/>
      <c r="G29" s="27"/>
      <c r="H29" s="27"/>
      <c r="I29" s="27"/>
      <c r="J29" s="27"/>
      <c r="K29" s="27"/>
      <c r="L29" s="25">
        <f>$D29*L$23</f>
        <v>1.972999985611068</v>
      </c>
    </row>
    <row r="30" spans="2:12" x14ac:dyDescent="0.25">
      <c r="C30" s="31"/>
    </row>
    <row r="31" spans="2:12" x14ac:dyDescent="0.25">
      <c r="B31" s="32"/>
      <c r="C31" s="31"/>
    </row>
    <row r="32" spans="2:12" x14ac:dyDescent="0.25">
      <c r="C32" s="31"/>
    </row>
    <row r="33" spans="2:3" x14ac:dyDescent="0.25">
      <c r="B33" s="32"/>
      <c r="C33" s="31"/>
    </row>
  </sheetData>
  <mergeCells count="1">
    <mergeCell ref="E22:L22"/>
  </mergeCells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87DE4-7A94-447D-8DE0-11BD66B0C32D}">
  <sheetPr codeName="Sheet12"/>
  <dimension ref="B2:M27"/>
  <sheetViews>
    <sheetView showGridLines="0" topLeftCell="F1" workbookViewId="0">
      <selection activeCell="K16" sqref="K16"/>
    </sheetView>
  </sheetViews>
  <sheetFormatPr defaultRowHeight="15" x14ac:dyDescent="0.25"/>
  <cols>
    <col min="2" max="2" width="20.140625" customWidth="1"/>
    <col min="3" max="3" width="8.7109375" style="2" customWidth="1"/>
    <col min="5" max="5" width="14.85546875" style="41" customWidth="1"/>
    <col min="8" max="8" width="23.28515625" customWidth="1"/>
    <col min="9" max="9" width="6.85546875" customWidth="1"/>
    <col min="10" max="10" width="6.7109375" customWidth="1"/>
    <col min="11" max="11" width="14.140625" style="2" customWidth="1"/>
    <col min="12" max="13" width="20.42578125" bestFit="1" customWidth="1"/>
  </cols>
  <sheetData>
    <row r="2" spans="2:13" ht="18" thickBot="1" x14ac:dyDescent="0.35">
      <c r="B2" s="54" t="s">
        <v>76</v>
      </c>
      <c r="C2" s="54"/>
      <c r="D2" s="54"/>
      <c r="E2" s="54"/>
      <c r="H2" s="54" t="s">
        <v>63</v>
      </c>
      <c r="I2" s="54"/>
      <c r="J2" s="54"/>
      <c r="K2" s="54"/>
    </row>
    <row r="3" spans="2:13" ht="9" customHeight="1" thickTop="1" x14ac:dyDescent="0.25">
      <c r="C3"/>
      <c r="E3"/>
    </row>
    <row r="4" spans="2:13" x14ac:dyDescent="0.25">
      <c r="B4" s="8" t="s">
        <v>77</v>
      </c>
      <c r="C4" s="3">
        <v>48</v>
      </c>
      <c r="E4" s="40" t="s">
        <v>78</v>
      </c>
      <c r="H4" s="8" t="s">
        <v>64</v>
      </c>
      <c r="I4" s="33">
        <v>0.5</v>
      </c>
      <c r="K4" s="6" t="s">
        <v>65</v>
      </c>
    </row>
    <row r="5" spans="2:13" x14ac:dyDescent="0.25">
      <c r="B5" s="8" t="s">
        <v>79</v>
      </c>
      <c r="C5" s="3">
        <v>3.0000000000000001E-3</v>
      </c>
      <c r="E5" s="40">
        <f>BINOMDIST(C6,C4,C5,C7)</f>
        <v>0.12503595996144101</v>
      </c>
      <c r="H5" s="8" t="s">
        <v>66</v>
      </c>
      <c r="I5" s="8">
        <v>0.14777000000000001</v>
      </c>
      <c r="K5" s="34">
        <f>CEILING(((NORMSINV(1-(1-I4)/2)*I6)/I5)^2,1)</f>
        <v>31</v>
      </c>
    </row>
    <row r="6" spans="2:13" x14ac:dyDescent="0.25">
      <c r="B6" s="8" t="s">
        <v>80</v>
      </c>
      <c r="C6" s="3">
        <v>1</v>
      </c>
      <c r="H6" s="8" t="s">
        <v>53</v>
      </c>
      <c r="I6" s="8">
        <v>1.2</v>
      </c>
    </row>
    <row r="7" spans="2:13" x14ac:dyDescent="0.25">
      <c r="B7" s="8" t="s">
        <v>81</v>
      </c>
      <c r="C7" s="3" t="b">
        <v>0</v>
      </c>
    </row>
    <row r="8" spans="2:13" ht="15.75" customHeight="1" x14ac:dyDescent="0.25"/>
    <row r="10" spans="2:13" ht="18" thickBot="1" x14ac:dyDescent="0.35">
      <c r="B10" s="54" t="s">
        <v>82</v>
      </c>
      <c r="C10" s="54"/>
      <c r="D10" s="54"/>
      <c r="E10" s="54"/>
      <c r="H10" s="54" t="s">
        <v>67</v>
      </c>
      <c r="I10" s="54"/>
      <c r="J10" s="54"/>
      <c r="K10" s="54"/>
      <c r="L10" s="35"/>
      <c r="M10" s="35"/>
    </row>
    <row r="11" spans="2:13" ht="9" customHeight="1" thickTop="1" x14ac:dyDescent="0.25">
      <c r="B11" s="42"/>
    </row>
    <row r="12" spans="2:13" x14ac:dyDescent="0.25">
      <c r="B12" s="8" t="s">
        <v>83</v>
      </c>
      <c r="C12" s="3">
        <v>0</v>
      </c>
      <c r="E12" s="40" t="s">
        <v>78</v>
      </c>
      <c r="H12" s="8" t="s">
        <v>64</v>
      </c>
      <c r="I12" s="33">
        <v>0.5</v>
      </c>
      <c r="K12" s="6" t="s">
        <v>68</v>
      </c>
      <c r="L12" s="6" t="s">
        <v>69</v>
      </c>
      <c r="M12" s="6" t="s">
        <v>70</v>
      </c>
    </row>
    <row r="13" spans="2:13" x14ac:dyDescent="0.25">
      <c r="B13" s="8" t="s">
        <v>84</v>
      </c>
      <c r="C13" s="3">
        <v>2.2999999999999998</v>
      </c>
      <c r="E13" s="40">
        <f>POISSON(C12,C13,C14)</f>
        <v>0.10025884372280375</v>
      </c>
      <c r="H13" s="8" t="s">
        <v>71</v>
      </c>
      <c r="I13" s="8">
        <v>5</v>
      </c>
      <c r="K13" s="6">
        <f>_xlfn.CONFIDENCE.NORM(1-I12,I14,I15)</f>
        <v>0.14777330039536743</v>
      </c>
      <c r="L13" s="36">
        <f>I13-K13</f>
        <v>4.8522266996046328</v>
      </c>
      <c r="M13" s="36">
        <f>I13+K13</f>
        <v>5.1477733003953672</v>
      </c>
    </row>
    <row r="14" spans="2:13" x14ac:dyDescent="0.25">
      <c r="B14" s="8" t="s">
        <v>81</v>
      </c>
      <c r="C14" s="3" t="b">
        <v>1</v>
      </c>
      <c r="H14" s="8" t="s">
        <v>72</v>
      </c>
      <c r="I14" s="8">
        <v>1.2</v>
      </c>
    </row>
    <row r="15" spans="2:13" x14ac:dyDescent="0.25">
      <c r="H15" s="8" t="s">
        <v>73</v>
      </c>
      <c r="I15" s="37">
        <v>30</v>
      </c>
    </row>
    <row r="17" spans="2:11" ht="18" thickBot="1" x14ac:dyDescent="0.35">
      <c r="B17" s="54" t="s">
        <v>85</v>
      </c>
      <c r="C17" s="54"/>
      <c r="D17" s="54"/>
      <c r="E17" s="54"/>
      <c r="H17" s="54" t="s">
        <v>74</v>
      </c>
      <c r="I17" s="54"/>
      <c r="J17" s="54"/>
      <c r="K17" s="54"/>
    </row>
    <row r="18" spans="2:11" ht="9" customHeight="1" thickTop="1" x14ac:dyDescent="0.25">
      <c r="B18" s="42"/>
    </row>
    <row r="19" spans="2:11" x14ac:dyDescent="0.25">
      <c r="B19" s="8" t="s">
        <v>86</v>
      </c>
      <c r="C19" s="3">
        <v>1</v>
      </c>
      <c r="E19" s="40" t="s">
        <v>78</v>
      </c>
      <c r="H19" s="8" t="s">
        <v>64</v>
      </c>
      <c r="I19" s="33">
        <v>0.9</v>
      </c>
      <c r="K19" s="6" t="s">
        <v>68</v>
      </c>
    </row>
    <row r="20" spans="2:11" x14ac:dyDescent="0.25">
      <c r="B20" s="8" t="s">
        <v>87</v>
      </c>
      <c r="C20" s="3">
        <v>200</v>
      </c>
      <c r="E20" s="40">
        <f>HYPGEOMDIST(C19,C20,C21,C22)</f>
        <v>0.3611974841430648</v>
      </c>
      <c r="H20" s="8" t="s">
        <v>75</v>
      </c>
      <c r="I20" s="8">
        <v>16</v>
      </c>
      <c r="K20" s="38" t="str">
        <f>ROUND(I20/I21,3)&amp;" ± "&amp;ROUND(NORMSINV(1-(1-I19)/2)*SQRT((I20/I21)*(1-(I20/I21))/I21),3)</f>
        <v>0.16 ± 0.06</v>
      </c>
    </row>
    <row r="21" spans="2:11" x14ac:dyDescent="0.25">
      <c r="B21" s="8" t="s">
        <v>88</v>
      </c>
      <c r="C21" s="3">
        <v>200</v>
      </c>
      <c r="H21" s="8" t="s">
        <v>73</v>
      </c>
      <c r="I21" s="37">
        <v>100</v>
      </c>
    </row>
    <row r="22" spans="2:11" x14ac:dyDescent="0.25">
      <c r="B22" s="8" t="s">
        <v>89</v>
      </c>
      <c r="C22" s="3">
        <v>49998</v>
      </c>
    </row>
    <row r="24" spans="2:11" ht="18" thickBot="1" x14ac:dyDescent="0.35">
      <c r="B24" s="54" t="s">
        <v>90</v>
      </c>
      <c r="C24" s="54"/>
      <c r="D24" s="54"/>
      <c r="E24" s="54"/>
    </row>
    <row r="25" spans="2:11" ht="15.75" thickTop="1" x14ac:dyDescent="0.25"/>
    <row r="26" spans="2:11" x14ac:dyDescent="0.25">
      <c r="B26" s="8" t="s">
        <v>91</v>
      </c>
      <c r="C26" s="3">
        <v>3.0000000000000001E-3</v>
      </c>
      <c r="E26" s="40" t="s">
        <v>78</v>
      </c>
    </row>
    <row r="27" spans="2:11" x14ac:dyDescent="0.25">
      <c r="B27" s="8" t="s">
        <v>92</v>
      </c>
      <c r="C27" s="3">
        <v>48</v>
      </c>
      <c r="E27" s="43">
        <f>1-(1-C26)^C27</f>
        <v>0.1342996383225229</v>
      </c>
    </row>
  </sheetData>
  <mergeCells count="7">
    <mergeCell ref="B2:E2"/>
    <mergeCell ref="B10:E10"/>
    <mergeCell ref="B17:E17"/>
    <mergeCell ref="B24:E24"/>
    <mergeCell ref="H2:K2"/>
    <mergeCell ref="H10:K10"/>
    <mergeCell ref="H17:K1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EBE2C-9FF5-4233-855B-805C35142477}">
  <sheetPr codeName="Sheet9"/>
  <dimension ref="A1:D9"/>
  <sheetViews>
    <sheetView showGridLines="0" zoomScale="130" zoomScaleNormal="130" workbookViewId="0">
      <selection activeCell="B6" sqref="B6"/>
    </sheetView>
  </sheetViews>
  <sheetFormatPr defaultRowHeight="15" x14ac:dyDescent="0.25"/>
  <cols>
    <col min="1" max="4" width="9.42578125" style="2" customWidth="1"/>
  </cols>
  <sheetData>
    <row r="1" spans="1:3" s="7" customFormat="1" ht="20.25" thickBot="1" x14ac:dyDescent="0.35">
      <c r="A1" s="44" t="s">
        <v>93</v>
      </c>
      <c r="B1" s="44"/>
      <c r="C1" s="44"/>
    </row>
    <row r="2" spans="1:3" ht="15.75" thickTop="1" x14ac:dyDescent="0.25"/>
    <row r="3" spans="1:3" x14ac:dyDescent="0.25">
      <c r="B3" s="45" t="s">
        <v>94</v>
      </c>
      <c r="C3" s="45" t="s">
        <v>95</v>
      </c>
    </row>
    <row r="4" spans="1:3" x14ac:dyDescent="0.25">
      <c r="A4" s="45" t="s">
        <v>96</v>
      </c>
      <c r="B4" s="3">
        <v>96</v>
      </c>
      <c r="C4" s="3">
        <v>400</v>
      </c>
    </row>
    <row r="5" spans="1:3" ht="15.75" thickBot="1" x14ac:dyDescent="0.3">
      <c r="A5" s="45"/>
    </row>
    <row r="6" spans="1:3" ht="16.5" thickTop="1" thickBot="1" x14ac:dyDescent="0.3">
      <c r="A6" s="45" t="s">
        <v>97</v>
      </c>
      <c r="B6" s="3">
        <v>100</v>
      </c>
      <c r="C6" s="46">
        <f>C4+(C8-C4)*((B6-B4)/(B8-B4))</f>
        <v>412.5</v>
      </c>
    </row>
    <row r="7" spans="1:3" ht="15.75" thickTop="1" x14ac:dyDescent="0.25">
      <c r="A7" s="45"/>
    </row>
    <row r="8" spans="1:3" x14ac:dyDescent="0.25">
      <c r="A8" s="45" t="s">
        <v>98</v>
      </c>
      <c r="B8" s="3">
        <v>104</v>
      </c>
      <c r="C8" s="3">
        <v>425</v>
      </c>
    </row>
    <row r="9" spans="1:3" x14ac:dyDescent="0.25">
      <c r="A9" s="45"/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DFEDA-72D0-4043-9E9C-861DCECEA96F}">
  <dimension ref="A1:I54"/>
  <sheetViews>
    <sheetView workbookViewId="0">
      <pane ySplit="24" topLeftCell="A28" activePane="bottomLeft" state="frozen"/>
      <selection pane="bottomLeft" activeCell="D28" sqref="D28"/>
    </sheetView>
  </sheetViews>
  <sheetFormatPr defaultColWidth="19.5703125" defaultRowHeight="15" x14ac:dyDescent="0.25"/>
  <cols>
    <col min="1" max="8" width="19.5703125" style="12"/>
    <col min="9" max="16384" width="19.5703125" style="9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9"/>
      <c r="B2" s="9"/>
      <c r="C2" s="9"/>
      <c r="D2" s="9"/>
      <c r="E2" s="9"/>
      <c r="F2" s="9"/>
      <c r="G2" s="9"/>
    </row>
    <row r="3" spans="1:7" x14ac:dyDescent="0.25">
      <c r="A3" s="9"/>
      <c r="B3" s="9"/>
      <c r="C3" s="9"/>
      <c r="D3" s="9"/>
      <c r="E3" s="9"/>
      <c r="F3" s="9"/>
      <c r="G3" s="9"/>
    </row>
    <row r="4" spans="1:7" x14ac:dyDescent="0.25">
      <c r="A4" s="9"/>
      <c r="B4" s="9"/>
      <c r="C4" s="9"/>
      <c r="D4" s="9"/>
      <c r="E4" s="9"/>
      <c r="F4" s="9"/>
      <c r="G4" s="9"/>
    </row>
    <row r="5" spans="1:7" x14ac:dyDescent="0.25">
      <c r="A5" s="9"/>
      <c r="B5" s="9"/>
      <c r="C5" s="9"/>
      <c r="D5" s="9"/>
      <c r="E5" s="9"/>
      <c r="F5" s="9"/>
      <c r="G5" s="9"/>
    </row>
    <row r="6" spans="1:7" x14ac:dyDescent="0.25">
      <c r="A6" s="9"/>
      <c r="B6" s="9"/>
      <c r="C6" s="9"/>
      <c r="D6" s="9"/>
      <c r="E6" s="9"/>
      <c r="F6" s="9"/>
      <c r="G6" s="9"/>
    </row>
    <row r="7" spans="1:7" x14ac:dyDescent="0.25">
      <c r="A7" s="9"/>
      <c r="B7" s="9"/>
      <c r="C7" s="9"/>
      <c r="D7" s="9"/>
      <c r="E7" s="9"/>
      <c r="F7" s="9"/>
      <c r="G7" s="9"/>
    </row>
    <row r="8" spans="1:7" x14ac:dyDescent="0.25">
      <c r="A8" s="9"/>
      <c r="B8" s="9"/>
      <c r="C8" s="9"/>
      <c r="D8" s="9"/>
      <c r="E8" s="9"/>
      <c r="F8" s="9"/>
      <c r="G8" s="9"/>
    </row>
    <row r="9" spans="1:7" x14ac:dyDescent="0.25">
      <c r="A9" s="9"/>
      <c r="B9" s="9"/>
      <c r="C9" s="9"/>
      <c r="D9" s="9"/>
      <c r="E9" s="9"/>
      <c r="F9" s="9"/>
      <c r="G9" s="9"/>
    </row>
    <row r="10" spans="1:7" x14ac:dyDescent="0.25">
      <c r="A10" s="9"/>
      <c r="B10" s="9"/>
      <c r="C10" s="9"/>
      <c r="D10" s="9"/>
      <c r="E10" s="9"/>
      <c r="F10" s="9"/>
      <c r="G10" s="9"/>
    </row>
    <row r="11" spans="1:7" x14ac:dyDescent="0.25">
      <c r="A11" s="9"/>
      <c r="B11" s="9"/>
      <c r="C11" s="9"/>
      <c r="D11" s="9"/>
      <c r="E11" s="9"/>
      <c r="F11" s="9"/>
      <c r="G11" s="9"/>
    </row>
    <row r="12" spans="1:7" x14ac:dyDescent="0.25">
      <c r="A12" s="9"/>
      <c r="B12" s="9"/>
      <c r="C12" s="9"/>
      <c r="D12" s="9"/>
      <c r="E12" s="9"/>
      <c r="F12" s="9"/>
      <c r="G12" s="9"/>
    </row>
    <row r="13" spans="1:7" x14ac:dyDescent="0.25">
      <c r="A13" s="9"/>
      <c r="B13" s="9"/>
      <c r="C13" s="9"/>
      <c r="D13" s="9"/>
      <c r="E13" s="9"/>
      <c r="F13" s="9"/>
      <c r="G13" s="9"/>
    </row>
    <row r="14" spans="1:7" x14ac:dyDescent="0.25">
      <c r="A14" s="9"/>
      <c r="B14" s="9"/>
      <c r="C14" s="9"/>
      <c r="D14" s="9"/>
      <c r="E14" s="9"/>
      <c r="F14" s="9"/>
      <c r="G14" s="9"/>
    </row>
    <row r="15" spans="1:7" x14ac:dyDescent="0.25">
      <c r="A15" s="9"/>
      <c r="B15" s="9"/>
      <c r="C15" s="9"/>
      <c r="D15" s="9"/>
      <c r="E15" s="9"/>
      <c r="F15" s="9"/>
      <c r="G15" s="9"/>
    </row>
    <row r="16" spans="1:7" x14ac:dyDescent="0.25">
      <c r="A16" s="9"/>
      <c r="B16" s="9"/>
      <c r="C16" s="9"/>
      <c r="D16" s="9"/>
      <c r="E16" s="9"/>
      <c r="F16" s="9"/>
      <c r="G16" s="9"/>
    </row>
    <row r="17" spans="1:9" x14ac:dyDescent="0.25">
      <c r="A17" s="9"/>
      <c r="B17" s="9"/>
      <c r="C17" s="9"/>
      <c r="D17" s="9"/>
      <c r="E17" s="9"/>
      <c r="F17" s="9"/>
      <c r="G17" s="9"/>
    </row>
    <row r="18" spans="1:9" x14ac:dyDescent="0.25">
      <c r="A18" s="9"/>
      <c r="B18" s="9"/>
      <c r="C18" s="9"/>
      <c r="D18" s="9"/>
      <c r="E18" s="9"/>
      <c r="F18" s="9"/>
      <c r="G18" s="9"/>
    </row>
    <row r="19" spans="1:9" x14ac:dyDescent="0.25">
      <c r="A19" s="9"/>
      <c r="B19" s="9"/>
      <c r="C19" s="9"/>
      <c r="D19" s="9"/>
      <c r="E19" s="9"/>
      <c r="F19" s="9"/>
      <c r="G19" s="9"/>
    </row>
    <row r="20" spans="1:9" x14ac:dyDescent="0.25">
      <c r="A20" s="9"/>
      <c r="B20" s="9"/>
      <c r="C20" s="9"/>
      <c r="D20" s="9"/>
      <c r="E20" s="9"/>
      <c r="F20" s="9"/>
      <c r="G20" s="9"/>
    </row>
    <row r="21" spans="1:9" x14ac:dyDescent="0.25">
      <c r="A21" s="9"/>
      <c r="B21" s="9"/>
      <c r="C21" s="9"/>
      <c r="D21" s="9"/>
      <c r="E21" s="9"/>
      <c r="F21" s="9"/>
      <c r="G21" s="9"/>
    </row>
    <row r="22" spans="1:9" x14ac:dyDescent="0.25">
      <c r="A22" s="9"/>
      <c r="B22" s="9"/>
      <c r="C22" s="9"/>
      <c r="D22" s="9"/>
      <c r="E22" s="9"/>
      <c r="F22" s="9"/>
      <c r="G22" s="9"/>
    </row>
    <row r="23" spans="1:9" ht="50.25" customHeight="1" x14ac:dyDescent="0.25">
      <c r="A23" s="55" t="s">
        <v>33</v>
      </c>
      <c r="B23" s="55"/>
      <c r="C23" s="55"/>
      <c r="D23" s="55"/>
      <c r="E23" s="55"/>
      <c r="F23" s="55"/>
      <c r="G23" s="55"/>
      <c r="H23" s="55"/>
      <c r="I23" s="55"/>
    </row>
    <row r="24" spans="1:9" s="14" customFormat="1" ht="27" customHeight="1" thickBot="1" x14ac:dyDescent="0.3">
      <c r="A24" s="13" t="s">
        <v>34</v>
      </c>
      <c r="B24" s="13" t="s">
        <v>35</v>
      </c>
      <c r="C24" s="13" t="s">
        <v>36</v>
      </c>
      <c r="D24" s="13" t="s">
        <v>37</v>
      </c>
      <c r="E24" s="13" t="s">
        <v>38</v>
      </c>
      <c r="F24" s="13" t="s">
        <v>39</v>
      </c>
      <c r="G24" s="13" t="s">
        <v>40</v>
      </c>
      <c r="H24" s="13" t="s">
        <v>41</v>
      </c>
      <c r="I24" s="14" t="s">
        <v>42</v>
      </c>
    </row>
    <row r="25" spans="1:9" x14ac:dyDescent="0.25">
      <c r="A25" s="12">
        <v>1</v>
      </c>
      <c r="B25" s="12">
        <v>12</v>
      </c>
      <c r="C25" s="12">
        <v>9.5</v>
      </c>
      <c r="D25" s="12">
        <v>0.25</v>
      </c>
      <c r="E25" s="12">
        <v>12.9</v>
      </c>
      <c r="F25" s="12">
        <f>C25-B25</f>
        <v>-2.5</v>
      </c>
      <c r="G25" s="12">
        <f>C25/B25</f>
        <v>0.79166666666666663</v>
      </c>
      <c r="H25" s="12">
        <v>129</v>
      </c>
      <c r="I25" s="9">
        <v>300</v>
      </c>
    </row>
    <row r="26" spans="1:9" x14ac:dyDescent="0.25">
      <c r="A26" s="12">
        <v>2</v>
      </c>
      <c r="B26" s="12">
        <v>12</v>
      </c>
      <c r="C26" s="12">
        <v>10</v>
      </c>
      <c r="D26" s="12">
        <v>0.25</v>
      </c>
      <c r="E26" s="12">
        <v>12.9</v>
      </c>
      <c r="F26" s="12">
        <f t="shared" ref="F26:F54" si="0">C26-B26</f>
        <v>-2</v>
      </c>
      <c r="G26" s="12">
        <f t="shared" ref="G26:G54" si="1">C26/B26</f>
        <v>0.83333333333333337</v>
      </c>
      <c r="H26" s="12">
        <v>129</v>
      </c>
      <c r="I26" s="9">
        <v>300</v>
      </c>
    </row>
    <row r="27" spans="1:9" x14ac:dyDescent="0.25">
      <c r="A27" s="12">
        <v>3</v>
      </c>
      <c r="B27" s="12">
        <v>12</v>
      </c>
      <c r="C27" s="12">
        <v>9.5</v>
      </c>
      <c r="D27" s="12">
        <v>0.25</v>
      </c>
      <c r="E27" s="12">
        <v>12.9</v>
      </c>
      <c r="F27" s="12">
        <f t="shared" si="0"/>
        <v>-2.5</v>
      </c>
      <c r="G27" s="12">
        <f t="shared" si="1"/>
        <v>0.79166666666666663</v>
      </c>
      <c r="H27" s="12">
        <v>129</v>
      </c>
      <c r="I27" s="9">
        <v>300</v>
      </c>
    </row>
    <row r="28" spans="1:9" x14ac:dyDescent="0.25">
      <c r="A28" s="12">
        <v>4</v>
      </c>
      <c r="B28" s="12">
        <v>12</v>
      </c>
      <c r="C28" s="12">
        <v>9.5</v>
      </c>
      <c r="D28" s="12">
        <v>0.25</v>
      </c>
      <c r="E28" s="12">
        <v>12.9</v>
      </c>
      <c r="F28" s="12">
        <f t="shared" si="0"/>
        <v>-2.5</v>
      </c>
      <c r="G28" s="12">
        <f t="shared" si="1"/>
        <v>0.79166666666666663</v>
      </c>
      <c r="H28" s="12">
        <v>129</v>
      </c>
      <c r="I28" s="9">
        <v>300</v>
      </c>
    </row>
    <row r="29" spans="1:9" x14ac:dyDescent="0.25">
      <c r="A29" s="12">
        <v>5</v>
      </c>
      <c r="B29" s="12">
        <v>48</v>
      </c>
      <c r="C29" s="12">
        <v>42.5</v>
      </c>
      <c r="D29" s="12">
        <v>0.25</v>
      </c>
      <c r="E29" s="12">
        <v>12.9</v>
      </c>
      <c r="F29" s="12">
        <f t="shared" si="0"/>
        <v>-5.5</v>
      </c>
      <c r="G29" s="12">
        <f t="shared" si="1"/>
        <v>0.88541666666666663</v>
      </c>
      <c r="H29" s="12">
        <v>129</v>
      </c>
      <c r="I29" s="9">
        <v>300</v>
      </c>
    </row>
    <row r="30" spans="1:9" x14ac:dyDescent="0.25">
      <c r="A30" s="12">
        <v>6</v>
      </c>
      <c r="B30" s="12">
        <v>48</v>
      </c>
      <c r="C30" s="12">
        <v>45</v>
      </c>
      <c r="D30" s="12">
        <v>0.25</v>
      </c>
      <c r="E30" s="12">
        <v>12.9</v>
      </c>
      <c r="F30" s="12">
        <f t="shared" si="0"/>
        <v>-3</v>
      </c>
      <c r="G30" s="12">
        <f t="shared" si="1"/>
        <v>0.9375</v>
      </c>
      <c r="H30" s="12">
        <v>129</v>
      </c>
      <c r="I30" s="9">
        <v>300</v>
      </c>
    </row>
    <row r="31" spans="1:9" x14ac:dyDescent="0.25">
      <c r="A31" s="12">
        <v>7</v>
      </c>
      <c r="B31" s="12">
        <v>48</v>
      </c>
      <c r="C31" s="12">
        <v>44.5</v>
      </c>
      <c r="D31" s="12">
        <v>0.25</v>
      </c>
      <c r="E31" s="12">
        <v>12.9</v>
      </c>
      <c r="F31" s="12">
        <f t="shared" si="0"/>
        <v>-3.5</v>
      </c>
      <c r="G31" s="12">
        <f t="shared" si="1"/>
        <v>0.92708333333333337</v>
      </c>
      <c r="H31" s="12">
        <v>129</v>
      </c>
      <c r="I31" s="9">
        <v>300</v>
      </c>
    </row>
    <row r="32" spans="1:9" x14ac:dyDescent="0.25">
      <c r="A32" s="12">
        <v>8</v>
      </c>
      <c r="B32" s="12">
        <v>48</v>
      </c>
      <c r="C32" s="12">
        <v>41</v>
      </c>
      <c r="D32" s="12">
        <v>0.25</v>
      </c>
      <c r="E32" s="12">
        <v>12.9</v>
      </c>
      <c r="F32" s="12">
        <f t="shared" si="0"/>
        <v>-7</v>
      </c>
      <c r="G32" s="12">
        <f t="shared" si="1"/>
        <v>0.85416666666666663</v>
      </c>
      <c r="H32" s="12">
        <v>129</v>
      </c>
      <c r="I32" s="9">
        <v>300</v>
      </c>
    </row>
    <row r="33" spans="1:9" x14ac:dyDescent="0.25">
      <c r="A33" s="12">
        <v>9</v>
      </c>
      <c r="B33" s="12">
        <v>48</v>
      </c>
      <c r="C33" s="12">
        <v>44.5</v>
      </c>
      <c r="D33" s="12">
        <v>0.25</v>
      </c>
      <c r="E33" s="12">
        <v>12.8</v>
      </c>
      <c r="F33" s="12">
        <f t="shared" si="0"/>
        <v>-3.5</v>
      </c>
      <c r="G33" s="12">
        <f t="shared" si="1"/>
        <v>0.92708333333333337</v>
      </c>
      <c r="H33" s="12">
        <v>129</v>
      </c>
      <c r="I33" s="9">
        <v>300</v>
      </c>
    </row>
    <row r="34" spans="1:9" x14ac:dyDescent="0.25">
      <c r="A34" s="12">
        <v>10</v>
      </c>
      <c r="B34" s="12">
        <v>48</v>
      </c>
      <c r="C34" s="12">
        <v>44</v>
      </c>
      <c r="D34" s="12">
        <v>0.25</v>
      </c>
      <c r="E34" s="12">
        <v>12.8</v>
      </c>
      <c r="F34" s="12">
        <f t="shared" si="0"/>
        <v>-4</v>
      </c>
      <c r="G34" s="12">
        <f t="shared" si="1"/>
        <v>0.91666666666666663</v>
      </c>
      <c r="H34" s="12">
        <v>129</v>
      </c>
      <c r="I34" s="9">
        <v>300</v>
      </c>
    </row>
    <row r="35" spans="1:9" x14ac:dyDescent="0.25">
      <c r="A35" s="12">
        <v>11</v>
      </c>
      <c r="B35" s="12">
        <v>12</v>
      </c>
      <c r="C35" s="12">
        <v>16</v>
      </c>
      <c r="D35" s="12">
        <v>0.5</v>
      </c>
      <c r="E35" s="12">
        <v>12.8</v>
      </c>
      <c r="F35" s="12">
        <f t="shared" si="0"/>
        <v>4</v>
      </c>
      <c r="G35" s="12">
        <f t="shared" si="1"/>
        <v>1.3333333333333333</v>
      </c>
      <c r="H35" s="12">
        <v>129</v>
      </c>
      <c r="I35" s="9">
        <v>300</v>
      </c>
    </row>
    <row r="36" spans="1:9" x14ac:dyDescent="0.25">
      <c r="A36" s="12">
        <v>12</v>
      </c>
      <c r="B36" s="12">
        <v>12</v>
      </c>
      <c r="C36" s="12">
        <v>13</v>
      </c>
      <c r="D36" s="12">
        <v>0.5</v>
      </c>
      <c r="E36" s="12">
        <v>12.8</v>
      </c>
      <c r="F36" s="12">
        <f t="shared" si="0"/>
        <v>1</v>
      </c>
      <c r="G36" s="12">
        <f t="shared" si="1"/>
        <v>1.0833333333333333</v>
      </c>
      <c r="H36" s="12">
        <v>129</v>
      </c>
      <c r="I36" s="9">
        <v>300</v>
      </c>
    </row>
    <row r="37" spans="1:9" x14ac:dyDescent="0.25">
      <c r="A37" s="12">
        <v>13</v>
      </c>
      <c r="B37" s="12">
        <v>12</v>
      </c>
      <c r="C37" s="12">
        <v>13</v>
      </c>
      <c r="D37" s="12">
        <v>0.5</v>
      </c>
      <c r="E37" s="12">
        <v>12.8</v>
      </c>
      <c r="F37" s="12">
        <f t="shared" si="0"/>
        <v>1</v>
      </c>
      <c r="G37" s="12">
        <f t="shared" si="1"/>
        <v>1.0833333333333333</v>
      </c>
      <c r="H37" s="12">
        <v>129</v>
      </c>
      <c r="I37" s="9">
        <v>300</v>
      </c>
    </row>
    <row r="38" spans="1:9" x14ac:dyDescent="0.25">
      <c r="A38" s="12">
        <v>14</v>
      </c>
      <c r="B38" s="12">
        <v>12</v>
      </c>
      <c r="C38" s="12">
        <v>11.5</v>
      </c>
      <c r="D38" s="12">
        <v>0.5</v>
      </c>
      <c r="E38" s="12">
        <v>12.8</v>
      </c>
      <c r="F38" s="12">
        <f t="shared" si="0"/>
        <v>-0.5</v>
      </c>
      <c r="G38" s="12">
        <f t="shared" si="1"/>
        <v>0.95833333333333337</v>
      </c>
      <c r="H38" s="12">
        <v>129</v>
      </c>
      <c r="I38" s="9">
        <v>300</v>
      </c>
    </row>
    <row r="39" spans="1:9" x14ac:dyDescent="0.25">
      <c r="A39" s="12">
        <v>15</v>
      </c>
      <c r="B39" s="12">
        <v>48</v>
      </c>
      <c r="C39" s="12">
        <v>54.5</v>
      </c>
      <c r="D39" s="12">
        <v>0.5</v>
      </c>
      <c r="E39" s="12">
        <v>12.8</v>
      </c>
      <c r="F39" s="12">
        <f t="shared" si="0"/>
        <v>6.5</v>
      </c>
      <c r="G39" s="12">
        <f t="shared" si="1"/>
        <v>1.1354166666666667</v>
      </c>
      <c r="H39" s="12">
        <v>129</v>
      </c>
      <c r="I39" s="9">
        <v>300</v>
      </c>
    </row>
    <row r="40" spans="1:9" x14ac:dyDescent="0.25">
      <c r="A40" s="12">
        <v>16</v>
      </c>
      <c r="B40" s="12">
        <v>48</v>
      </c>
      <c r="C40" s="12">
        <v>53.5</v>
      </c>
      <c r="D40" s="12">
        <v>0.5</v>
      </c>
      <c r="E40" s="12">
        <v>12.8</v>
      </c>
      <c r="F40" s="12">
        <f t="shared" si="0"/>
        <v>5.5</v>
      </c>
      <c r="G40" s="12">
        <f t="shared" si="1"/>
        <v>1.1145833333333333</v>
      </c>
      <c r="H40" s="12">
        <v>129</v>
      </c>
      <c r="I40" s="9">
        <v>300</v>
      </c>
    </row>
    <row r="41" spans="1:9" x14ac:dyDescent="0.25">
      <c r="A41" s="12">
        <v>17</v>
      </c>
      <c r="B41" s="12">
        <v>48</v>
      </c>
      <c r="C41" s="12">
        <v>54</v>
      </c>
      <c r="D41" s="12">
        <v>0.5</v>
      </c>
      <c r="E41" s="12">
        <v>12.8</v>
      </c>
      <c r="F41" s="12">
        <f t="shared" si="0"/>
        <v>6</v>
      </c>
      <c r="G41" s="12">
        <f t="shared" si="1"/>
        <v>1.125</v>
      </c>
      <c r="H41" s="12">
        <v>129</v>
      </c>
      <c r="I41" s="9">
        <v>300</v>
      </c>
    </row>
    <row r="42" spans="1:9" x14ac:dyDescent="0.25">
      <c r="A42" s="12">
        <v>18</v>
      </c>
      <c r="B42" s="12">
        <v>48</v>
      </c>
      <c r="C42" s="12">
        <v>53</v>
      </c>
      <c r="D42" s="12">
        <v>0.5</v>
      </c>
      <c r="E42" s="12">
        <v>12.8</v>
      </c>
      <c r="F42" s="12">
        <f>C42-B42</f>
        <v>5</v>
      </c>
      <c r="G42" s="12">
        <f t="shared" si="1"/>
        <v>1.1041666666666667</v>
      </c>
      <c r="H42" s="12">
        <v>129</v>
      </c>
      <c r="I42" s="9">
        <v>300</v>
      </c>
    </row>
    <row r="43" spans="1:9" x14ac:dyDescent="0.25">
      <c r="A43" s="12">
        <v>19</v>
      </c>
      <c r="B43" s="12">
        <v>12</v>
      </c>
      <c r="C43" s="12">
        <v>13</v>
      </c>
      <c r="D43" s="12">
        <v>1</v>
      </c>
      <c r="E43" s="12">
        <v>12.7</v>
      </c>
      <c r="F43" s="12">
        <f t="shared" si="0"/>
        <v>1</v>
      </c>
      <c r="G43" s="12">
        <f t="shared" si="1"/>
        <v>1.0833333333333333</v>
      </c>
      <c r="H43" s="12">
        <v>129</v>
      </c>
      <c r="I43" s="9">
        <v>300</v>
      </c>
    </row>
    <row r="44" spans="1:9" x14ac:dyDescent="0.25">
      <c r="A44" s="12">
        <v>20</v>
      </c>
      <c r="B44" s="12">
        <v>12</v>
      </c>
      <c r="C44" s="12">
        <v>13</v>
      </c>
      <c r="D44" s="12">
        <v>1</v>
      </c>
      <c r="E44" s="12">
        <v>12.7</v>
      </c>
      <c r="F44" s="12">
        <f t="shared" si="0"/>
        <v>1</v>
      </c>
      <c r="G44" s="12">
        <f t="shared" si="1"/>
        <v>1.0833333333333333</v>
      </c>
      <c r="H44" s="12">
        <v>129</v>
      </c>
      <c r="I44" s="9">
        <v>300</v>
      </c>
    </row>
    <row r="45" spans="1:9" x14ac:dyDescent="0.25">
      <c r="A45" s="12">
        <v>21</v>
      </c>
      <c r="B45" s="12">
        <v>12</v>
      </c>
      <c r="C45" s="12">
        <v>12.5</v>
      </c>
      <c r="D45" s="12">
        <v>1</v>
      </c>
      <c r="E45" s="12">
        <v>12.7</v>
      </c>
      <c r="F45" s="12">
        <f t="shared" si="0"/>
        <v>0.5</v>
      </c>
      <c r="G45" s="12">
        <f t="shared" si="1"/>
        <v>1.0416666666666667</v>
      </c>
      <c r="H45" s="12">
        <v>129</v>
      </c>
      <c r="I45" s="9">
        <v>300</v>
      </c>
    </row>
    <row r="46" spans="1:9" x14ac:dyDescent="0.25">
      <c r="A46" s="12">
        <v>22</v>
      </c>
      <c r="B46" s="12">
        <v>12</v>
      </c>
      <c r="C46" s="12">
        <v>13</v>
      </c>
      <c r="D46" s="12">
        <v>1</v>
      </c>
      <c r="E46" s="12">
        <v>12.7</v>
      </c>
      <c r="F46" s="12">
        <f t="shared" si="0"/>
        <v>1</v>
      </c>
      <c r="G46" s="12">
        <f t="shared" si="1"/>
        <v>1.0833333333333333</v>
      </c>
      <c r="H46" s="12">
        <v>129</v>
      </c>
      <c r="I46" s="9">
        <v>300</v>
      </c>
    </row>
    <row r="47" spans="1:9" x14ac:dyDescent="0.25">
      <c r="A47" s="12">
        <v>23</v>
      </c>
      <c r="B47" s="12">
        <v>48</v>
      </c>
      <c r="C47" s="12">
        <v>50</v>
      </c>
      <c r="D47" s="12">
        <v>1</v>
      </c>
      <c r="E47" s="12">
        <v>12.7</v>
      </c>
      <c r="F47" s="12">
        <f t="shared" si="0"/>
        <v>2</v>
      </c>
      <c r="G47" s="12">
        <f t="shared" si="1"/>
        <v>1.0416666666666667</v>
      </c>
      <c r="H47" s="12">
        <v>129</v>
      </c>
      <c r="I47" s="9">
        <v>300</v>
      </c>
    </row>
    <row r="48" spans="1:9" x14ac:dyDescent="0.25">
      <c r="A48" s="12">
        <v>24</v>
      </c>
      <c r="B48" s="12">
        <v>48</v>
      </c>
      <c r="C48" s="12">
        <v>53.5</v>
      </c>
      <c r="D48" s="12">
        <v>1</v>
      </c>
      <c r="E48" s="12">
        <v>12.7</v>
      </c>
      <c r="F48" s="12">
        <f t="shared" si="0"/>
        <v>5.5</v>
      </c>
      <c r="G48" s="12">
        <f t="shared" si="1"/>
        <v>1.1145833333333333</v>
      </c>
      <c r="H48" s="12">
        <v>129</v>
      </c>
      <c r="I48" s="9">
        <v>300</v>
      </c>
    </row>
    <row r="49" spans="1:9" x14ac:dyDescent="0.25">
      <c r="A49" s="12">
        <v>25</v>
      </c>
      <c r="B49" s="12">
        <v>48</v>
      </c>
      <c r="C49" s="12">
        <v>54</v>
      </c>
      <c r="D49" s="12">
        <v>1</v>
      </c>
      <c r="E49" s="12">
        <v>12.7</v>
      </c>
      <c r="F49" s="12">
        <f t="shared" si="0"/>
        <v>6</v>
      </c>
      <c r="G49" s="12">
        <f t="shared" si="1"/>
        <v>1.125</v>
      </c>
      <c r="H49" s="12">
        <v>129</v>
      </c>
      <c r="I49" s="9">
        <v>300</v>
      </c>
    </row>
    <row r="50" spans="1:9" x14ac:dyDescent="0.25">
      <c r="A50" s="12">
        <v>26</v>
      </c>
      <c r="B50" s="12">
        <v>48</v>
      </c>
      <c r="C50" s="12">
        <v>50</v>
      </c>
      <c r="D50" s="12">
        <v>1</v>
      </c>
      <c r="E50" s="12">
        <v>12.7</v>
      </c>
      <c r="F50" s="12">
        <f t="shared" si="0"/>
        <v>2</v>
      </c>
      <c r="G50" s="12">
        <f t="shared" si="1"/>
        <v>1.0416666666666667</v>
      </c>
      <c r="H50" s="12">
        <v>129</v>
      </c>
      <c r="I50" s="9">
        <v>300</v>
      </c>
    </row>
    <row r="51" spans="1:9" x14ac:dyDescent="0.25">
      <c r="A51" s="12">
        <v>27</v>
      </c>
      <c r="B51" s="12">
        <v>120</v>
      </c>
      <c r="C51" s="12">
        <v>139</v>
      </c>
      <c r="D51" s="12">
        <v>1</v>
      </c>
      <c r="E51" s="12">
        <v>12.7</v>
      </c>
      <c r="F51" s="12">
        <f t="shared" si="0"/>
        <v>19</v>
      </c>
      <c r="G51" s="12">
        <f t="shared" si="1"/>
        <v>1.1583333333333334</v>
      </c>
      <c r="H51" s="12">
        <v>129</v>
      </c>
      <c r="I51" s="9">
        <v>150</v>
      </c>
    </row>
    <row r="52" spans="1:9" x14ac:dyDescent="0.25">
      <c r="A52" s="12">
        <v>28</v>
      </c>
      <c r="B52" s="12">
        <v>120</v>
      </c>
      <c r="C52" s="12">
        <v>142</v>
      </c>
      <c r="D52" s="12">
        <v>1</v>
      </c>
      <c r="E52" s="12">
        <v>12.6</v>
      </c>
      <c r="F52" s="12">
        <f t="shared" si="0"/>
        <v>22</v>
      </c>
      <c r="G52" s="12">
        <f t="shared" si="1"/>
        <v>1.1833333333333333</v>
      </c>
      <c r="H52" s="12">
        <v>129</v>
      </c>
      <c r="I52" s="9">
        <v>150</v>
      </c>
    </row>
    <row r="53" spans="1:9" x14ac:dyDescent="0.25">
      <c r="A53" s="12">
        <v>28</v>
      </c>
      <c r="B53" s="12">
        <v>120</v>
      </c>
      <c r="C53" s="12">
        <v>131</v>
      </c>
      <c r="D53" s="12">
        <v>1</v>
      </c>
      <c r="E53" s="12">
        <v>12.6</v>
      </c>
      <c r="F53" s="12">
        <f t="shared" si="0"/>
        <v>11</v>
      </c>
      <c r="G53" s="12">
        <f t="shared" si="1"/>
        <v>1.0916666666666666</v>
      </c>
      <c r="H53" s="12">
        <v>129</v>
      </c>
      <c r="I53" s="9">
        <v>150</v>
      </c>
    </row>
    <row r="54" spans="1:9" x14ac:dyDescent="0.25">
      <c r="A54" s="12">
        <v>28</v>
      </c>
      <c r="B54" s="12">
        <v>120</v>
      </c>
      <c r="C54" s="12">
        <v>141</v>
      </c>
      <c r="D54" s="12">
        <v>1</v>
      </c>
      <c r="E54" s="12">
        <v>12.6</v>
      </c>
      <c r="F54" s="12">
        <f t="shared" si="0"/>
        <v>21</v>
      </c>
      <c r="G54" s="12">
        <f t="shared" si="1"/>
        <v>1.175</v>
      </c>
      <c r="H54" s="12">
        <v>129</v>
      </c>
      <c r="I54" s="9">
        <v>150</v>
      </c>
    </row>
  </sheetData>
  <autoFilter ref="A24:J55" xr:uid="{9C0DE983-566A-4EF0-83E7-F76CA22DD364}"/>
  <mergeCells count="1">
    <mergeCell ref="A23:I23"/>
  </mergeCells>
  <conditionalFormatting sqref="E25:E54">
    <cfRule type="colorScale" priority="1">
      <colorScale>
        <cfvo type="num" val="12"/>
        <cfvo type="num" val="13"/>
        <color theme="4" tint="0.39997558519241921"/>
        <color theme="0"/>
      </colorScale>
    </cfRule>
  </conditionalFormatting>
  <conditionalFormatting sqref="F25:F54">
    <cfRule type="colorScale" priority="3">
      <colorScale>
        <cfvo type="min"/>
        <cfvo type="num" val="0"/>
        <cfvo type="max"/>
        <color theme="4" tint="0.39997558519241921"/>
        <color theme="0"/>
        <color theme="4" tint="0.39997558519241921"/>
      </colorScale>
    </cfRule>
  </conditionalFormatting>
  <conditionalFormatting sqref="G25:G54">
    <cfRule type="colorScale" priority="2">
      <colorScale>
        <cfvo type="min"/>
        <cfvo type="num" val="1"/>
        <cfvo type="max"/>
        <color theme="4" tint="0.39997558519241921"/>
        <color theme="0"/>
        <color theme="4" tint="0.39997558519241921"/>
      </colorScale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81BA4-B48C-4F99-8E80-1089CCB85B8F}">
  <dimension ref="A1:Q331"/>
  <sheetViews>
    <sheetView zoomScaleNormal="100" workbookViewId="0">
      <pane ySplit="17" topLeftCell="A18" activePane="bottomLeft" state="frozen"/>
      <selection pane="bottomLeft" activeCell="O2" sqref="O2"/>
    </sheetView>
  </sheetViews>
  <sheetFormatPr defaultColWidth="16.140625" defaultRowHeight="15" x14ac:dyDescent="0.25"/>
  <cols>
    <col min="1" max="1" width="8.7109375" style="15" customWidth="1"/>
    <col min="2" max="2" width="13.28515625" style="15" customWidth="1"/>
    <col min="3" max="3" width="8.140625" style="15" customWidth="1"/>
    <col min="4" max="4" width="10.28515625" style="15" customWidth="1"/>
    <col min="5" max="5" width="10.140625" style="15" customWidth="1"/>
    <col min="6" max="6" width="10.85546875" style="15" customWidth="1"/>
    <col min="7" max="7" width="10.85546875" style="15" hidden="1" customWidth="1"/>
    <col min="8" max="8" width="12" style="18" customWidth="1"/>
    <col min="9" max="9" width="14.28515625" style="15" customWidth="1"/>
    <col min="10" max="16384" width="16.140625" style="10"/>
  </cols>
  <sheetData>
    <row r="1" spans="1:17" ht="24" x14ac:dyDescent="0.25">
      <c r="A1" s="47" t="s">
        <v>99</v>
      </c>
      <c r="B1" s="10"/>
      <c r="C1" s="10"/>
      <c r="D1" s="10"/>
      <c r="E1" s="10"/>
      <c r="F1" s="10"/>
      <c r="G1" s="10"/>
      <c r="H1"/>
      <c r="L1" s="10" t="s">
        <v>100</v>
      </c>
      <c r="M1" s="10" t="s">
        <v>101</v>
      </c>
      <c r="N1" s="10" t="s">
        <v>102</v>
      </c>
      <c r="O1" s="10" t="s">
        <v>103</v>
      </c>
      <c r="P1" s="10" t="s">
        <v>104</v>
      </c>
      <c r="Q1" s="10" t="s">
        <v>105</v>
      </c>
    </row>
    <row r="2" spans="1:17" x14ac:dyDescent="0.25">
      <c r="A2" s="10"/>
      <c r="B2" s="10"/>
      <c r="C2" s="10"/>
      <c r="D2" s="10"/>
      <c r="E2" s="10"/>
      <c r="F2" s="10"/>
      <c r="G2" s="10"/>
      <c r="H2"/>
      <c r="K2" s="10">
        <v>0.4</v>
      </c>
      <c r="L2" s="10">
        <f>AVERAGEIF($C:$C,$K2,$I:$I)</f>
        <v>67.769230769230774</v>
      </c>
      <c r="M2">
        <f>AVERAGEIFS($I:$I, $C:$C, $K2, $F:$F, "center")</f>
        <v>62.53846153846154</v>
      </c>
      <c r="N2">
        <f>AVERAGEIFS($I:$I, $C:$C, $K2, $F:$F, "left")</f>
        <v>73</v>
      </c>
      <c r="O2" cm="1">
        <f t="array" ref="O2">_xlfn.STDEV.S(_xlfn._xlws.FILTER($I:$I, $C:$C=$K2))</f>
        <v>10.207086527732368</v>
      </c>
      <c r="P2" cm="1">
        <f t="array" ref="P2">_xlfn.STDEV.S(_xlfn._xlws.FILTER($I:$I, ($C:$C=$K2) * ($F:$F="center")))</f>
        <v>8.0271973587234768</v>
      </c>
      <c r="Q2" cm="1">
        <f t="array" ref="Q2">_xlfn.STDEV.S(_xlfn._xlws.FILTER($I:$I, ($C:$C=$K2) * ($F:$F="left")))</f>
        <v>9.6609178307929593</v>
      </c>
    </row>
    <row r="3" spans="1:17" x14ac:dyDescent="0.25">
      <c r="A3" s="10"/>
      <c r="B3" s="10"/>
      <c r="C3" s="10"/>
      <c r="D3" s="10"/>
      <c r="E3" s="10"/>
      <c r="F3" s="10"/>
      <c r="G3" s="10"/>
      <c r="H3"/>
      <c r="K3" s="10">
        <v>0.5</v>
      </c>
      <c r="L3" s="10">
        <f>AVERAGEIF($C:$C,$K3,$I:$I)</f>
        <v>68.5311004784689</v>
      </c>
      <c r="M3">
        <f>AVERAGEIFS($I:$I, $C:$C, $K3, $F:$F, "center")</f>
        <v>63.028301886792455</v>
      </c>
      <c r="N3">
        <f>AVERAGEIFS($I:$I, $C:$C, $K3, $F:$F, "left")</f>
        <v>74.194174757281559</v>
      </c>
      <c r="O3" cm="1">
        <f t="array" ref="O3">_xlfn.STDEV.S(_xlfn._xlws.FILTER($I:$I, $C:$C=$K3))</f>
        <v>10.788626455779969</v>
      </c>
      <c r="P3" cm="1">
        <f t="array" ref="P3">_xlfn.STDEV.S(_xlfn._xlws.FILTER($I:$I, ($C:$C=$K3) * ($F:$F="center")))</f>
        <v>6.8860902545429097</v>
      </c>
      <c r="Q3" cm="1">
        <f t="array" ref="Q3">_xlfn.STDEV.S(_xlfn._xlws.FILTER($I:$I, ($C:$C=$K3) * ($F:$F="left")))</f>
        <v>11.166351987746889</v>
      </c>
    </row>
    <row r="4" spans="1:17" x14ac:dyDescent="0.25">
      <c r="A4" s="10"/>
      <c r="B4" s="10"/>
      <c r="C4" s="10"/>
      <c r="D4" s="10"/>
      <c r="E4" s="10"/>
      <c r="F4" s="10"/>
      <c r="G4" s="10"/>
      <c r="H4"/>
      <c r="K4" s="10">
        <v>0.6</v>
      </c>
      <c r="L4" s="10">
        <f>AVERAGEIF($C:$C,$K4,$I:$I)</f>
        <v>65.115384615384613</v>
      </c>
      <c r="M4">
        <f>AVERAGEIFS($I:$I, $C:$C, $K4, $F:$F, "center")</f>
        <v>58.571428571428569</v>
      </c>
      <c r="N4">
        <f>AVERAGEIFS($I:$I, $C:$C, $K4, $F:$F, "left")</f>
        <v>72.75</v>
      </c>
      <c r="O4" cm="1">
        <f t="array" ref="O4">_xlfn.STDEV.S(_xlfn._xlws.FILTER($I:$I, $C:$C=$K4))</f>
        <v>12.113882690787202</v>
      </c>
      <c r="P4" cm="1">
        <f t="array" ref="P4">_xlfn.STDEV.S(_xlfn._xlws.FILTER($I:$I, ($C:$C=$K4) * ($F:$F="center")))</f>
        <v>7.9779917052070024</v>
      </c>
      <c r="Q4" cm="1">
        <f t="array" ref="Q4">_xlfn.STDEV.S(_xlfn._xlws.FILTER($I:$I, ($C:$C=$K4) * ($F:$F="left")))</f>
        <v>11.840800034395711</v>
      </c>
    </row>
    <row r="5" spans="1:17" x14ac:dyDescent="0.25">
      <c r="A5" s="10"/>
      <c r="B5" s="10"/>
      <c r="C5" s="10"/>
      <c r="D5" s="10"/>
      <c r="E5" s="10"/>
      <c r="F5" s="10"/>
      <c r="G5" s="10"/>
      <c r="H5"/>
      <c r="K5" s="10">
        <v>0.75</v>
      </c>
      <c r="L5" s="10">
        <f>AVERAGEIF($C:$C,$K5,$I:$I)</f>
        <v>56.666666666666664</v>
      </c>
      <c r="M5">
        <f>AVERAGEIFS($I:$I, $C:$C, $K5, $F:$F, "center")</f>
        <v>48.785714285714285</v>
      </c>
      <c r="N5">
        <f>AVERAGEIFS($I:$I, $C:$C, $K5, $F:$F, "left")</f>
        <v>65.15384615384616</v>
      </c>
      <c r="O5" cm="1">
        <f t="array" ref="O5">_xlfn.STDEV.S(_xlfn._xlws.FILTER($I:$I, $C:$C=$K5))</f>
        <v>14.803845654215872</v>
      </c>
      <c r="P5" cm="1">
        <f t="array" ref="P5">_xlfn.STDEV.S(_xlfn._xlws.FILTER($I:$I, ($C:$C=$K5) * ($F:$F="center")))</f>
        <v>11.429910635821145</v>
      </c>
      <c r="Q5" cm="1">
        <f t="array" ref="Q5">_xlfn.STDEV.S(_xlfn._xlws.FILTER($I:$I, ($C:$C=$K5) * ($F:$F="left")))</f>
        <v>13.520639493296612</v>
      </c>
    </row>
    <row r="6" spans="1:17" x14ac:dyDescent="0.25">
      <c r="A6" s="10"/>
      <c r="B6" s="10"/>
      <c r="C6" s="10"/>
      <c r="D6" s="10"/>
      <c r="E6" s="10"/>
      <c r="F6" s="10"/>
      <c r="G6" s="10"/>
      <c r="H6"/>
      <c r="K6" s="10">
        <v>1</v>
      </c>
      <c r="L6" s="10">
        <f>AVERAGEIF($C:$C,$K6,$I:$I)</f>
        <v>41.769230769230766</v>
      </c>
      <c r="M6">
        <f>AVERAGEIFS($I:$I, $C:$C, $K6, $F:$F, "center")</f>
        <v>26.583333333333332</v>
      </c>
      <c r="N6">
        <f>AVERAGEIFS($I:$I, $C:$C, $K6, $F:$F, "left")</f>
        <v>54.785714285714285</v>
      </c>
      <c r="O6" cm="1">
        <f t="array" ref="O6">_xlfn.STDEV.S(_xlfn._xlws.FILTER($I:$I, $C:$C=$K6))</f>
        <v>18.084927851241634</v>
      </c>
      <c r="P6" cm="1">
        <f t="array" ref="P6">_xlfn.STDEV.S(_xlfn._xlws.FILTER($I:$I, ($C:$C=$K6) * ($F:$F="center")))</f>
        <v>8.649312461728158</v>
      </c>
      <c r="Q6" cm="1">
        <f t="array" ref="Q6">_xlfn.STDEV.S(_xlfn._xlws.FILTER($I:$I, ($C:$C=$K6) * ($F:$F="left")))</f>
        <v>13.051251466245104</v>
      </c>
    </row>
    <row r="7" spans="1:17" x14ac:dyDescent="0.25">
      <c r="A7" s="10"/>
      <c r="B7" s="10"/>
      <c r="C7" s="10"/>
      <c r="D7" s="10"/>
      <c r="E7" s="10"/>
      <c r="F7" s="10"/>
      <c r="G7" s="10"/>
      <c r="H7"/>
    </row>
    <row r="8" spans="1:17" x14ac:dyDescent="0.25">
      <c r="A8" s="10"/>
      <c r="B8" s="10"/>
      <c r="C8" s="10"/>
      <c r="D8" s="10"/>
      <c r="E8" s="10"/>
      <c r="F8" s="10"/>
      <c r="G8" s="10"/>
      <c r="H8"/>
    </row>
    <row r="9" spans="1:17" x14ac:dyDescent="0.25">
      <c r="A9" s="10"/>
      <c r="B9" s="10"/>
      <c r="C9" s="10"/>
      <c r="D9" s="10"/>
      <c r="E9" s="10"/>
      <c r="F9" s="10"/>
      <c r="G9" s="10"/>
      <c r="H9"/>
    </row>
    <row r="10" spans="1:17" x14ac:dyDescent="0.25">
      <c r="A10" s="10"/>
      <c r="B10" s="10"/>
      <c r="C10" s="10"/>
      <c r="D10" s="10"/>
      <c r="E10" s="10"/>
      <c r="F10" s="10"/>
      <c r="G10" s="10"/>
      <c r="H10"/>
    </row>
    <row r="11" spans="1:17" x14ac:dyDescent="0.25">
      <c r="A11" s="10"/>
      <c r="B11" s="10"/>
      <c r="C11" s="10"/>
      <c r="D11" s="10"/>
      <c r="E11" s="10"/>
      <c r="F11" s="10"/>
      <c r="G11" s="10"/>
      <c r="H11"/>
    </row>
    <row r="12" spans="1:17" x14ac:dyDescent="0.25">
      <c r="A12" s="10"/>
      <c r="B12" s="10"/>
      <c r="C12" s="10"/>
      <c r="D12" s="10"/>
      <c r="E12" s="10"/>
      <c r="F12" s="10"/>
      <c r="G12" s="10"/>
      <c r="H12"/>
    </row>
    <row r="13" spans="1:17" x14ac:dyDescent="0.25">
      <c r="A13" s="10"/>
      <c r="B13" s="10"/>
      <c r="C13" s="10"/>
      <c r="D13" s="10"/>
      <c r="E13" s="10"/>
      <c r="F13" s="10"/>
      <c r="G13" s="10"/>
      <c r="H13"/>
    </row>
    <row r="14" spans="1:17" x14ac:dyDescent="0.25">
      <c r="A14" s="10"/>
      <c r="B14" s="10"/>
      <c r="C14" s="10"/>
      <c r="D14" s="10"/>
      <c r="E14" s="10"/>
      <c r="F14" s="10"/>
      <c r="G14" s="10"/>
      <c r="H14"/>
    </row>
    <row r="15" spans="1:17" x14ac:dyDescent="0.25">
      <c r="A15" s="10"/>
      <c r="B15" s="10"/>
      <c r="C15" s="10"/>
      <c r="D15" s="10"/>
      <c r="E15" s="10"/>
      <c r="F15" s="10"/>
      <c r="G15" s="10"/>
      <c r="H15"/>
    </row>
    <row r="16" spans="1:17" ht="18.75" customHeight="1" x14ac:dyDescent="0.25">
      <c r="A16" s="10"/>
      <c r="B16" s="10"/>
      <c r="C16" s="10"/>
      <c r="D16" s="10"/>
      <c r="E16" s="10"/>
      <c r="F16" s="10"/>
      <c r="G16" s="10"/>
      <c r="H16"/>
    </row>
    <row r="17" spans="1:14" s="17" customFormat="1" ht="54" customHeight="1" thickBot="1" x14ac:dyDescent="0.3">
      <c r="A17" s="16" t="s">
        <v>43</v>
      </c>
      <c r="B17" s="16" t="s">
        <v>44</v>
      </c>
      <c r="C17" s="16" t="s">
        <v>45</v>
      </c>
      <c r="D17" s="16" t="s">
        <v>46</v>
      </c>
      <c r="E17" s="16" t="s">
        <v>47</v>
      </c>
      <c r="F17" s="16" t="s">
        <v>48</v>
      </c>
      <c r="G17" s="16"/>
      <c r="H17" s="16" t="s">
        <v>49</v>
      </c>
      <c r="I17" s="16" t="s">
        <v>50</v>
      </c>
      <c r="M17"/>
      <c r="N17"/>
    </row>
    <row r="18" spans="1:14" x14ac:dyDescent="0.25">
      <c r="A18" s="15">
        <v>1</v>
      </c>
      <c r="B18" s="15">
        <v>75</v>
      </c>
      <c r="C18" s="15">
        <v>0.5</v>
      </c>
      <c r="D18" s="15">
        <v>1</v>
      </c>
      <c r="E18" s="15">
        <v>12.8</v>
      </c>
      <c r="F18" s="15" t="s">
        <v>51</v>
      </c>
      <c r="G18" s="15">
        <f t="shared" ref="G18:G81" si="0">IF(F18="center", 1, 0)</f>
        <v>1</v>
      </c>
      <c r="H18" s="18">
        <v>135</v>
      </c>
      <c r="I18" s="15">
        <f t="shared" ref="I18:I81" si="1">H18-B18</f>
        <v>60</v>
      </c>
      <c r="M18"/>
      <c r="N18"/>
    </row>
    <row r="19" spans="1:14" x14ac:dyDescent="0.25">
      <c r="A19" s="15">
        <v>2</v>
      </c>
      <c r="B19" s="15">
        <v>75</v>
      </c>
      <c r="C19" s="15">
        <v>0.5</v>
      </c>
      <c r="D19" s="15">
        <v>1</v>
      </c>
      <c r="E19" s="15">
        <v>12.8</v>
      </c>
      <c r="F19" s="15" t="s">
        <v>51</v>
      </c>
      <c r="G19" s="15">
        <f t="shared" si="0"/>
        <v>1</v>
      </c>
      <c r="H19" s="18">
        <v>143</v>
      </c>
      <c r="I19" s="15">
        <f t="shared" si="1"/>
        <v>68</v>
      </c>
      <c r="M19"/>
      <c r="N19"/>
    </row>
    <row r="20" spans="1:14" x14ac:dyDescent="0.25">
      <c r="A20" s="15">
        <v>3</v>
      </c>
      <c r="B20" s="15">
        <v>75</v>
      </c>
      <c r="C20" s="15">
        <v>0.5</v>
      </c>
      <c r="D20" s="15">
        <v>1</v>
      </c>
      <c r="E20" s="15">
        <v>12.8</v>
      </c>
      <c r="F20" s="15" t="s">
        <v>51</v>
      </c>
      <c r="G20" s="15">
        <f t="shared" si="0"/>
        <v>1</v>
      </c>
      <c r="H20" s="18">
        <v>149</v>
      </c>
      <c r="I20" s="15">
        <f t="shared" si="1"/>
        <v>74</v>
      </c>
      <c r="M20"/>
      <c r="N20"/>
    </row>
    <row r="21" spans="1:14" x14ac:dyDescent="0.25">
      <c r="A21" s="15">
        <v>4</v>
      </c>
      <c r="B21" s="15">
        <v>75</v>
      </c>
      <c r="C21" s="15">
        <v>0.5</v>
      </c>
      <c r="D21" s="15">
        <v>1</v>
      </c>
      <c r="E21" s="15">
        <v>12.8</v>
      </c>
      <c r="F21" s="15" t="s">
        <v>51</v>
      </c>
      <c r="G21" s="15">
        <f t="shared" si="0"/>
        <v>1</v>
      </c>
      <c r="H21" s="18">
        <v>141</v>
      </c>
      <c r="I21" s="15">
        <f t="shared" si="1"/>
        <v>66</v>
      </c>
      <c r="M21"/>
      <c r="N21"/>
    </row>
    <row r="22" spans="1:14" x14ac:dyDescent="0.25">
      <c r="A22" s="15">
        <v>5</v>
      </c>
      <c r="B22" s="15">
        <v>75</v>
      </c>
      <c r="C22" s="15">
        <v>0.5</v>
      </c>
      <c r="D22" s="15">
        <v>1</v>
      </c>
      <c r="E22" s="15">
        <v>12.8</v>
      </c>
      <c r="F22" s="15" t="s">
        <v>51</v>
      </c>
      <c r="G22" s="15">
        <f t="shared" si="0"/>
        <v>1</v>
      </c>
      <c r="H22" s="18">
        <v>146</v>
      </c>
      <c r="I22" s="15">
        <f t="shared" si="1"/>
        <v>71</v>
      </c>
      <c r="M22"/>
      <c r="N22"/>
    </row>
    <row r="23" spans="1:14" x14ac:dyDescent="0.25">
      <c r="A23" s="15">
        <v>6</v>
      </c>
      <c r="B23" s="15">
        <v>75</v>
      </c>
      <c r="C23" s="15">
        <v>0.5</v>
      </c>
      <c r="D23" s="15">
        <v>1</v>
      </c>
      <c r="E23" s="15">
        <v>12.8</v>
      </c>
      <c r="F23" s="15" t="s">
        <v>51</v>
      </c>
      <c r="G23" s="15">
        <f t="shared" si="0"/>
        <v>1</v>
      </c>
      <c r="H23" s="18">
        <v>142</v>
      </c>
      <c r="I23" s="15">
        <f t="shared" si="1"/>
        <v>67</v>
      </c>
      <c r="M23"/>
      <c r="N23"/>
    </row>
    <row r="24" spans="1:14" x14ac:dyDescent="0.25">
      <c r="A24" s="15">
        <v>7</v>
      </c>
      <c r="B24" s="15">
        <v>75</v>
      </c>
      <c r="C24" s="15">
        <v>0.5</v>
      </c>
      <c r="D24" s="15">
        <v>1</v>
      </c>
      <c r="E24" s="15">
        <v>12.7</v>
      </c>
      <c r="F24" s="15" t="s">
        <v>51</v>
      </c>
      <c r="G24" s="15">
        <f t="shared" si="0"/>
        <v>1</v>
      </c>
      <c r="H24" s="18">
        <v>130</v>
      </c>
      <c r="I24" s="15">
        <f t="shared" si="1"/>
        <v>55</v>
      </c>
      <c r="M24"/>
      <c r="N24"/>
    </row>
    <row r="25" spans="1:14" x14ac:dyDescent="0.25">
      <c r="A25" s="15">
        <v>8</v>
      </c>
      <c r="B25" s="15">
        <v>75</v>
      </c>
      <c r="C25" s="15">
        <v>0.5</v>
      </c>
      <c r="D25" s="15">
        <v>1</v>
      </c>
      <c r="E25" s="15">
        <v>12.7</v>
      </c>
      <c r="F25" s="15" t="s">
        <v>51</v>
      </c>
      <c r="G25" s="15">
        <f t="shared" si="0"/>
        <v>1</v>
      </c>
      <c r="H25" s="18">
        <v>138</v>
      </c>
      <c r="I25" s="15">
        <f t="shared" si="1"/>
        <v>63</v>
      </c>
      <c r="M25"/>
      <c r="N25"/>
    </row>
    <row r="26" spans="1:14" x14ac:dyDescent="0.25">
      <c r="A26" s="15">
        <v>9</v>
      </c>
      <c r="B26" s="15">
        <v>75</v>
      </c>
      <c r="C26" s="15">
        <v>0.5</v>
      </c>
      <c r="D26" s="15">
        <v>1</v>
      </c>
      <c r="E26" s="15">
        <v>12.7</v>
      </c>
      <c r="F26" s="15" t="s">
        <v>51</v>
      </c>
      <c r="G26" s="15">
        <f t="shared" si="0"/>
        <v>1</v>
      </c>
      <c r="H26" s="18">
        <v>139</v>
      </c>
      <c r="I26" s="15">
        <f t="shared" si="1"/>
        <v>64</v>
      </c>
      <c r="M26"/>
      <c r="N26"/>
    </row>
    <row r="27" spans="1:14" x14ac:dyDescent="0.25">
      <c r="A27" s="15">
        <v>10</v>
      </c>
      <c r="B27" s="15">
        <v>75</v>
      </c>
      <c r="C27" s="15">
        <v>0.5</v>
      </c>
      <c r="D27" s="15">
        <v>1</v>
      </c>
      <c r="E27" s="15">
        <v>12.7</v>
      </c>
      <c r="F27" s="15" t="s">
        <v>51</v>
      </c>
      <c r="G27" s="15">
        <f t="shared" si="0"/>
        <v>1</v>
      </c>
      <c r="H27" s="18">
        <v>144</v>
      </c>
      <c r="I27" s="15">
        <f t="shared" si="1"/>
        <v>69</v>
      </c>
      <c r="M27"/>
      <c r="N27"/>
    </row>
    <row r="28" spans="1:14" x14ac:dyDescent="0.25">
      <c r="A28" s="15">
        <v>11</v>
      </c>
      <c r="B28" s="15">
        <v>75</v>
      </c>
      <c r="C28" s="15">
        <v>0.5</v>
      </c>
      <c r="D28" s="15">
        <v>1</v>
      </c>
      <c r="E28" s="15">
        <v>12.7</v>
      </c>
      <c r="F28" s="15" t="s">
        <v>51</v>
      </c>
      <c r="G28" s="15">
        <f t="shared" si="0"/>
        <v>1</v>
      </c>
      <c r="H28" s="18">
        <v>135</v>
      </c>
      <c r="I28" s="15">
        <f t="shared" si="1"/>
        <v>60</v>
      </c>
      <c r="M28"/>
      <c r="N28"/>
    </row>
    <row r="29" spans="1:14" x14ac:dyDescent="0.25">
      <c r="A29" s="15">
        <v>12</v>
      </c>
      <c r="B29" s="15">
        <v>75</v>
      </c>
      <c r="C29" s="15">
        <v>0.5</v>
      </c>
      <c r="D29" s="15">
        <v>1</v>
      </c>
      <c r="E29" s="15">
        <v>12.7</v>
      </c>
      <c r="F29" s="15" t="s">
        <v>52</v>
      </c>
      <c r="G29" s="15">
        <f t="shared" si="0"/>
        <v>0</v>
      </c>
      <c r="H29" s="18">
        <v>169</v>
      </c>
      <c r="I29" s="15">
        <f t="shared" si="1"/>
        <v>94</v>
      </c>
      <c r="M29"/>
      <c r="N29"/>
    </row>
    <row r="30" spans="1:14" x14ac:dyDescent="0.25">
      <c r="A30" s="15">
        <v>13</v>
      </c>
      <c r="B30" s="15">
        <v>75</v>
      </c>
      <c r="C30" s="15">
        <v>0.5</v>
      </c>
      <c r="D30" s="15">
        <v>1</v>
      </c>
      <c r="E30" s="15">
        <v>12.7</v>
      </c>
      <c r="F30" s="15" t="s">
        <v>52</v>
      </c>
      <c r="G30" s="15">
        <f t="shared" si="0"/>
        <v>0</v>
      </c>
      <c r="H30" s="18">
        <v>161</v>
      </c>
      <c r="I30" s="15">
        <f t="shared" si="1"/>
        <v>86</v>
      </c>
      <c r="M30"/>
      <c r="N30"/>
    </row>
    <row r="31" spans="1:14" x14ac:dyDescent="0.25">
      <c r="A31" s="15">
        <v>14</v>
      </c>
      <c r="B31" s="15">
        <v>75</v>
      </c>
      <c r="C31" s="15">
        <v>0.5</v>
      </c>
      <c r="D31" s="15">
        <v>1</v>
      </c>
      <c r="E31" s="15">
        <v>12.7</v>
      </c>
      <c r="F31" s="15" t="s">
        <v>51</v>
      </c>
      <c r="G31" s="15">
        <f t="shared" si="0"/>
        <v>1</v>
      </c>
      <c r="H31" s="18">
        <v>139</v>
      </c>
      <c r="I31" s="15">
        <f t="shared" si="1"/>
        <v>64</v>
      </c>
      <c r="M31"/>
      <c r="N31"/>
    </row>
    <row r="32" spans="1:14" x14ac:dyDescent="0.25">
      <c r="A32" s="15">
        <v>15</v>
      </c>
      <c r="B32" s="15">
        <v>75</v>
      </c>
      <c r="C32" s="15">
        <v>0.5</v>
      </c>
      <c r="D32" s="15">
        <v>1</v>
      </c>
      <c r="E32" s="15">
        <v>12.7</v>
      </c>
      <c r="F32" s="15" t="s">
        <v>52</v>
      </c>
      <c r="G32" s="15">
        <f t="shared" si="0"/>
        <v>0</v>
      </c>
      <c r="H32" s="18">
        <v>136</v>
      </c>
      <c r="I32" s="15">
        <f t="shared" si="1"/>
        <v>61</v>
      </c>
    </row>
    <row r="33" spans="1:9" x14ac:dyDescent="0.25">
      <c r="A33" s="15">
        <v>16</v>
      </c>
      <c r="B33" s="15">
        <v>75</v>
      </c>
      <c r="C33" s="15">
        <v>0.5</v>
      </c>
      <c r="D33" s="15">
        <v>1</v>
      </c>
      <c r="E33" s="15">
        <v>12.7</v>
      </c>
      <c r="F33" s="15" t="s">
        <v>51</v>
      </c>
      <c r="G33" s="15">
        <f t="shared" si="0"/>
        <v>1</v>
      </c>
      <c r="H33" s="18">
        <v>140</v>
      </c>
      <c r="I33" s="15">
        <f t="shared" si="1"/>
        <v>65</v>
      </c>
    </row>
    <row r="34" spans="1:9" x14ac:dyDescent="0.25">
      <c r="A34" s="15">
        <v>17</v>
      </c>
      <c r="B34" s="15">
        <v>75</v>
      </c>
      <c r="C34" s="15">
        <v>0.5</v>
      </c>
      <c r="D34" s="15">
        <v>1</v>
      </c>
      <c r="E34" s="15">
        <v>12.7</v>
      </c>
      <c r="F34" s="15" t="s">
        <v>52</v>
      </c>
      <c r="G34" s="15">
        <f t="shared" si="0"/>
        <v>0</v>
      </c>
      <c r="H34" s="18">
        <v>148</v>
      </c>
      <c r="I34" s="15">
        <f t="shared" si="1"/>
        <v>73</v>
      </c>
    </row>
    <row r="35" spans="1:9" x14ac:dyDescent="0.25">
      <c r="A35" s="15">
        <v>18</v>
      </c>
      <c r="B35" s="15">
        <v>75</v>
      </c>
      <c r="C35" s="15">
        <v>0.5</v>
      </c>
      <c r="D35" s="15">
        <v>1</v>
      </c>
      <c r="E35" s="15">
        <v>12.7</v>
      </c>
      <c r="F35" s="15" t="s">
        <v>51</v>
      </c>
      <c r="G35" s="15">
        <f t="shared" si="0"/>
        <v>1</v>
      </c>
      <c r="H35" s="18">
        <v>137</v>
      </c>
      <c r="I35" s="15">
        <f t="shared" si="1"/>
        <v>62</v>
      </c>
    </row>
    <row r="36" spans="1:9" x14ac:dyDescent="0.25">
      <c r="A36" s="15">
        <v>19</v>
      </c>
      <c r="B36" s="15">
        <v>75</v>
      </c>
      <c r="C36" s="15">
        <v>0.5</v>
      </c>
      <c r="D36" s="15">
        <v>1</v>
      </c>
      <c r="E36" s="15">
        <v>12.7</v>
      </c>
      <c r="F36" s="15" t="s">
        <v>52</v>
      </c>
      <c r="G36" s="15">
        <f t="shared" si="0"/>
        <v>0</v>
      </c>
      <c r="H36" s="18">
        <v>144</v>
      </c>
      <c r="I36" s="15">
        <f t="shared" si="1"/>
        <v>69</v>
      </c>
    </row>
    <row r="37" spans="1:9" x14ac:dyDescent="0.25">
      <c r="A37" s="15">
        <v>20</v>
      </c>
      <c r="B37" s="15">
        <v>75</v>
      </c>
      <c r="C37" s="15">
        <v>0.5</v>
      </c>
      <c r="D37" s="15">
        <v>1</v>
      </c>
      <c r="E37" s="15">
        <v>12.7</v>
      </c>
      <c r="F37" s="15" t="s">
        <v>52</v>
      </c>
      <c r="G37" s="15">
        <f t="shared" si="0"/>
        <v>0</v>
      </c>
      <c r="H37" s="18">
        <v>165</v>
      </c>
      <c r="I37" s="15">
        <f t="shared" si="1"/>
        <v>90</v>
      </c>
    </row>
    <row r="38" spans="1:9" x14ac:dyDescent="0.25">
      <c r="A38" s="15">
        <v>21</v>
      </c>
      <c r="B38" s="15">
        <v>75</v>
      </c>
      <c r="C38" s="15">
        <v>0.5</v>
      </c>
      <c r="D38" s="15">
        <v>1</v>
      </c>
      <c r="E38" s="15">
        <v>12.7</v>
      </c>
      <c r="F38" s="15" t="s">
        <v>51</v>
      </c>
      <c r="G38" s="15">
        <f t="shared" si="0"/>
        <v>1</v>
      </c>
      <c r="H38" s="18">
        <v>128</v>
      </c>
      <c r="I38" s="15">
        <f t="shared" si="1"/>
        <v>53</v>
      </c>
    </row>
    <row r="39" spans="1:9" x14ac:dyDescent="0.25">
      <c r="A39" s="15">
        <v>22</v>
      </c>
      <c r="B39" s="15">
        <v>75</v>
      </c>
      <c r="C39" s="15">
        <v>0.5</v>
      </c>
      <c r="D39" s="15">
        <v>1</v>
      </c>
      <c r="E39" s="15">
        <v>12.7</v>
      </c>
      <c r="F39" s="15" t="s">
        <v>51</v>
      </c>
      <c r="G39" s="15">
        <f t="shared" si="0"/>
        <v>1</v>
      </c>
      <c r="H39" s="18">
        <v>142</v>
      </c>
      <c r="I39" s="15">
        <f t="shared" si="1"/>
        <v>67</v>
      </c>
    </row>
    <row r="40" spans="1:9" x14ac:dyDescent="0.25">
      <c r="A40" s="15">
        <v>23</v>
      </c>
      <c r="B40" s="15">
        <v>75</v>
      </c>
      <c r="C40" s="15">
        <v>0.5</v>
      </c>
      <c r="D40" s="15">
        <v>1</v>
      </c>
      <c r="E40" s="15">
        <v>12.7</v>
      </c>
      <c r="F40" s="15" t="s">
        <v>52</v>
      </c>
      <c r="G40" s="15">
        <f t="shared" si="0"/>
        <v>0</v>
      </c>
      <c r="H40" s="18">
        <v>162</v>
      </c>
      <c r="I40" s="15">
        <f t="shared" si="1"/>
        <v>87</v>
      </c>
    </row>
    <row r="41" spans="1:9" x14ac:dyDescent="0.25">
      <c r="A41" s="15">
        <v>24</v>
      </c>
      <c r="B41" s="15">
        <v>75</v>
      </c>
      <c r="C41" s="15">
        <v>0.5</v>
      </c>
      <c r="D41" s="15">
        <v>1</v>
      </c>
      <c r="E41" s="15">
        <v>12.7</v>
      </c>
      <c r="F41" s="15" t="s">
        <v>51</v>
      </c>
      <c r="G41" s="15">
        <f t="shared" si="0"/>
        <v>1</v>
      </c>
      <c r="H41" s="18">
        <v>139</v>
      </c>
      <c r="I41" s="15">
        <f t="shared" si="1"/>
        <v>64</v>
      </c>
    </row>
    <row r="42" spans="1:9" x14ac:dyDescent="0.25">
      <c r="A42" s="15">
        <v>25</v>
      </c>
      <c r="B42" s="15">
        <v>75</v>
      </c>
      <c r="C42" s="15">
        <v>0.5</v>
      </c>
      <c r="D42" s="15">
        <v>1</v>
      </c>
      <c r="E42" s="15">
        <v>12.7</v>
      </c>
      <c r="F42" s="15" t="s">
        <v>52</v>
      </c>
      <c r="G42" s="15">
        <f t="shared" si="0"/>
        <v>0</v>
      </c>
      <c r="H42" s="18">
        <v>145</v>
      </c>
      <c r="I42" s="15">
        <f t="shared" si="1"/>
        <v>70</v>
      </c>
    </row>
    <row r="43" spans="1:9" x14ac:dyDescent="0.25">
      <c r="A43" s="15">
        <v>26</v>
      </c>
      <c r="B43" s="15">
        <v>75</v>
      </c>
      <c r="C43" s="15">
        <v>0.5</v>
      </c>
      <c r="D43" s="15">
        <v>1</v>
      </c>
      <c r="E43" s="15">
        <v>12.7</v>
      </c>
      <c r="F43" s="15" t="s">
        <v>51</v>
      </c>
      <c r="G43" s="15">
        <f t="shared" si="0"/>
        <v>1</v>
      </c>
      <c r="H43" s="18">
        <v>147</v>
      </c>
      <c r="I43" s="15">
        <f t="shared" si="1"/>
        <v>72</v>
      </c>
    </row>
    <row r="44" spans="1:9" x14ac:dyDescent="0.25">
      <c r="A44" s="15">
        <v>27</v>
      </c>
      <c r="B44" s="15">
        <v>75</v>
      </c>
      <c r="C44" s="15">
        <v>0.5</v>
      </c>
      <c r="D44" s="15">
        <v>1</v>
      </c>
      <c r="E44" s="15">
        <v>12.7</v>
      </c>
      <c r="F44" s="15" t="s">
        <v>52</v>
      </c>
      <c r="G44" s="15">
        <f t="shared" si="0"/>
        <v>0</v>
      </c>
      <c r="H44" s="18">
        <v>149</v>
      </c>
      <c r="I44" s="15">
        <f t="shared" si="1"/>
        <v>74</v>
      </c>
    </row>
    <row r="45" spans="1:9" x14ac:dyDescent="0.25">
      <c r="A45" s="15">
        <v>28</v>
      </c>
      <c r="B45" s="15">
        <v>75</v>
      </c>
      <c r="C45" s="15">
        <v>0.5</v>
      </c>
      <c r="D45" s="15">
        <v>1</v>
      </c>
      <c r="E45" s="15">
        <v>12.7</v>
      </c>
      <c r="F45" s="15" t="s">
        <v>51</v>
      </c>
      <c r="G45" s="15">
        <f t="shared" si="0"/>
        <v>1</v>
      </c>
      <c r="H45" s="18">
        <v>142</v>
      </c>
      <c r="I45" s="15">
        <f t="shared" si="1"/>
        <v>67</v>
      </c>
    </row>
    <row r="46" spans="1:9" x14ac:dyDescent="0.25">
      <c r="A46" s="15">
        <v>29</v>
      </c>
      <c r="B46" s="15">
        <v>75</v>
      </c>
      <c r="C46" s="15">
        <v>0.5</v>
      </c>
      <c r="D46" s="15">
        <v>1</v>
      </c>
      <c r="E46" s="15">
        <v>12.7</v>
      </c>
      <c r="F46" s="15" t="s">
        <v>52</v>
      </c>
      <c r="G46" s="15">
        <f t="shared" si="0"/>
        <v>0</v>
      </c>
      <c r="H46" s="18">
        <v>156</v>
      </c>
      <c r="I46" s="15">
        <f t="shared" si="1"/>
        <v>81</v>
      </c>
    </row>
    <row r="47" spans="1:9" x14ac:dyDescent="0.25">
      <c r="A47" s="15">
        <v>30</v>
      </c>
      <c r="B47" s="15">
        <v>75</v>
      </c>
      <c r="C47" s="15">
        <v>0.5</v>
      </c>
      <c r="D47" s="15">
        <v>1</v>
      </c>
      <c r="E47" s="15">
        <v>12.7</v>
      </c>
      <c r="F47" s="15" t="s">
        <v>51</v>
      </c>
      <c r="G47" s="15">
        <f t="shared" si="0"/>
        <v>1</v>
      </c>
      <c r="H47" s="18">
        <v>142</v>
      </c>
      <c r="I47" s="15">
        <f t="shared" si="1"/>
        <v>67</v>
      </c>
    </row>
    <row r="48" spans="1:9" x14ac:dyDescent="0.25">
      <c r="A48" s="15">
        <v>31</v>
      </c>
      <c r="B48" s="15">
        <v>75</v>
      </c>
      <c r="C48" s="15">
        <v>0.5</v>
      </c>
      <c r="D48" s="15">
        <v>1</v>
      </c>
      <c r="E48" s="15">
        <v>12.7</v>
      </c>
      <c r="F48" s="15" t="s">
        <v>52</v>
      </c>
      <c r="G48" s="15">
        <f t="shared" si="0"/>
        <v>0</v>
      </c>
      <c r="H48" s="18">
        <v>160</v>
      </c>
      <c r="I48" s="15">
        <f t="shared" si="1"/>
        <v>85</v>
      </c>
    </row>
    <row r="49" spans="1:9" x14ac:dyDescent="0.25">
      <c r="A49" s="15">
        <v>32</v>
      </c>
      <c r="B49" s="15">
        <v>75</v>
      </c>
      <c r="C49" s="15">
        <v>0.5</v>
      </c>
      <c r="D49" s="15">
        <v>1</v>
      </c>
      <c r="E49" s="15">
        <v>12.7</v>
      </c>
      <c r="F49" s="15" t="s">
        <v>51</v>
      </c>
      <c r="G49" s="15">
        <f t="shared" si="0"/>
        <v>1</v>
      </c>
      <c r="H49" s="18">
        <v>137</v>
      </c>
      <c r="I49" s="15">
        <f t="shared" si="1"/>
        <v>62</v>
      </c>
    </row>
    <row r="50" spans="1:9" x14ac:dyDescent="0.25">
      <c r="A50" s="15">
        <v>33</v>
      </c>
      <c r="B50" s="15">
        <v>75</v>
      </c>
      <c r="C50" s="15">
        <v>0.5</v>
      </c>
      <c r="D50" s="15">
        <v>1</v>
      </c>
      <c r="E50" s="15">
        <v>12.7</v>
      </c>
      <c r="F50" s="15" t="s">
        <v>52</v>
      </c>
      <c r="G50" s="15">
        <f t="shared" si="0"/>
        <v>0</v>
      </c>
      <c r="H50" s="18">
        <v>168</v>
      </c>
      <c r="I50" s="15">
        <f t="shared" si="1"/>
        <v>93</v>
      </c>
    </row>
    <row r="51" spans="1:9" x14ac:dyDescent="0.25">
      <c r="A51" s="15">
        <v>34</v>
      </c>
      <c r="B51" s="15">
        <v>75</v>
      </c>
      <c r="C51" s="15">
        <v>0.5</v>
      </c>
      <c r="D51" s="15">
        <v>1</v>
      </c>
      <c r="E51" s="15">
        <v>12.7</v>
      </c>
      <c r="F51" s="15" t="s">
        <v>52</v>
      </c>
      <c r="G51" s="15">
        <f t="shared" si="0"/>
        <v>0</v>
      </c>
      <c r="H51" s="18">
        <v>176</v>
      </c>
      <c r="I51" s="15">
        <f t="shared" si="1"/>
        <v>101</v>
      </c>
    </row>
    <row r="52" spans="1:9" x14ac:dyDescent="0.25">
      <c r="A52" s="15">
        <v>35</v>
      </c>
      <c r="B52" s="15">
        <v>75</v>
      </c>
      <c r="C52" s="15">
        <v>0.5</v>
      </c>
      <c r="D52" s="15">
        <v>1</v>
      </c>
      <c r="E52" s="15">
        <v>12.7</v>
      </c>
      <c r="F52" s="15" t="s">
        <v>51</v>
      </c>
      <c r="G52" s="15">
        <f t="shared" si="0"/>
        <v>1</v>
      </c>
      <c r="H52" s="18">
        <v>136</v>
      </c>
      <c r="I52" s="15">
        <f t="shared" si="1"/>
        <v>61</v>
      </c>
    </row>
    <row r="53" spans="1:9" x14ac:dyDescent="0.25">
      <c r="A53" s="15">
        <v>36</v>
      </c>
      <c r="B53" s="15">
        <v>75</v>
      </c>
      <c r="C53" s="15">
        <v>0.5</v>
      </c>
      <c r="D53" s="15">
        <v>1</v>
      </c>
      <c r="E53" s="15">
        <v>12.7</v>
      </c>
      <c r="F53" s="15" t="s">
        <v>51</v>
      </c>
      <c r="G53" s="15">
        <f t="shared" si="0"/>
        <v>1</v>
      </c>
      <c r="H53" s="18">
        <v>143</v>
      </c>
      <c r="I53" s="15">
        <f t="shared" si="1"/>
        <v>68</v>
      </c>
    </row>
    <row r="54" spans="1:9" x14ac:dyDescent="0.25">
      <c r="A54" s="15">
        <v>37</v>
      </c>
      <c r="B54" s="15">
        <v>75</v>
      </c>
      <c r="C54" s="15">
        <v>0.5</v>
      </c>
      <c r="D54" s="15">
        <v>1</v>
      </c>
      <c r="E54" s="15">
        <v>12.7</v>
      </c>
      <c r="F54" s="15" t="s">
        <v>52</v>
      </c>
      <c r="G54" s="15">
        <f t="shared" si="0"/>
        <v>0</v>
      </c>
      <c r="H54" s="18">
        <v>158</v>
      </c>
      <c r="I54" s="15">
        <f t="shared" si="1"/>
        <v>83</v>
      </c>
    </row>
    <row r="55" spans="1:9" x14ac:dyDescent="0.25">
      <c r="A55" s="15">
        <v>38</v>
      </c>
      <c r="B55" s="15">
        <v>75</v>
      </c>
      <c r="C55" s="15">
        <v>0.5</v>
      </c>
      <c r="D55" s="15">
        <v>1</v>
      </c>
      <c r="E55" s="15">
        <v>12.7</v>
      </c>
      <c r="F55" s="15" t="s">
        <v>52</v>
      </c>
      <c r="G55" s="15">
        <f t="shared" si="0"/>
        <v>0</v>
      </c>
      <c r="H55" s="18">
        <v>148</v>
      </c>
      <c r="I55" s="15">
        <f t="shared" si="1"/>
        <v>73</v>
      </c>
    </row>
    <row r="56" spans="1:9" x14ac:dyDescent="0.25">
      <c r="A56" s="15">
        <v>39</v>
      </c>
      <c r="B56" s="15">
        <v>75</v>
      </c>
      <c r="C56" s="15">
        <v>0.5</v>
      </c>
      <c r="D56" s="15">
        <v>1</v>
      </c>
      <c r="E56" s="15">
        <v>12.7</v>
      </c>
      <c r="F56" s="15" t="s">
        <v>51</v>
      </c>
      <c r="G56" s="15">
        <f t="shared" si="0"/>
        <v>1</v>
      </c>
      <c r="H56" s="18">
        <v>129</v>
      </c>
      <c r="I56" s="15">
        <f t="shared" si="1"/>
        <v>54</v>
      </c>
    </row>
    <row r="57" spans="1:9" x14ac:dyDescent="0.25">
      <c r="A57" s="15">
        <v>40</v>
      </c>
      <c r="B57" s="15">
        <v>75</v>
      </c>
      <c r="C57" s="15">
        <v>0.5</v>
      </c>
      <c r="D57" s="15">
        <v>1</v>
      </c>
      <c r="E57" s="15">
        <v>12.7</v>
      </c>
      <c r="F57" s="15" t="s">
        <v>52</v>
      </c>
      <c r="G57" s="15">
        <f t="shared" si="0"/>
        <v>0</v>
      </c>
      <c r="H57" s="18">
        <v>141</v>
      </c>
      <c r="I57" s="15">
        <f t="shared" si="1"/>
        <v>66</v>
      </c>
    </row>
    <row r="58" spans="1:9" x14ac:dyDescent="0.25">
      <c r="A58" s="15">
        <v>41</v>
      </c>
      <c r="B58" s="15">
        <v>75</v>
      </c>
      <c r="C58" s="15">
        <v>0.5</v>
      </c>
      <c r="D58" s="15">
        <v>1</v>
      </c>
      <c r="E58" s="15">
        <v>12.7</v>
      </c>
      <c r="F58" s="15" t="s">
        <v>51</v>
      </c>
      <c r="G58" s="15">
        <f t="shared" si="0"/>
        <v>1</v>
      </c>
      <c r="H58" s="18">
        <v>133</v>
      </c>
      <c r="I58" s="15">
        <f t="shared" si="1"/>
        <v>58</v>
      </c>
    </row>
    <row r="59" spans="1:9" x14ac:dyDescent="0.25">
      <c r="A59" s="15">
        <v>42</v>
      </c>
      <c r="B59" s="15">
        <v>75</v>
      </c>
      <c r="C59" s="15">
        <v>0.5</v>
      </c>
      <c r="D59" s="15">
        <v>1</v>
      </c>
      <c r="E59" s="15">
        <v>12.6</v>
      </c>
      <c r="F59" s="15" t="s">
        <v>52</v>
      </c>
      <c r="G59" s="15">
        <f t="shared" si="0"/>
        <v>0</v>
      </c>
      <c r="H59" s="18">
        <v>146</v>
      </c>
      <c r="I59" s="15">
        <f t="shared" si="1"/>
        <v>71</v>
      </c>
    </row>
    <row r="60" spans="1:9" x14ac:dyDescent="0.25">
      <c r="A60" s="15">
        <v>43</v>
      </c>
      <c r="B60" s="15">
        <v>75</v>
      </c>
      <c r="C60" s="15">
        <v>0.5</v>
      </c>
      <c r="D60" s="15">
        <v>1</v>
      </c>
      <c r="E60" s="15">
        <v>12.6</v>
      </c>
      <c r="F60" s="15" t="s">
        <v>51</v>
      </c>
      <c r="G60" s="15">
        <f t="shared" si="0"/>
        <v>1</v>
      </c>
      <c r="H60" s="18">
        <v>139</v>
      </c>
      <c r="I60" s="15">
        <f t="shared" si="1"/>
        <v>64</v>
      </c>
    </row>
    <row r="61" spans="1:9" x14ac:dyDescent="0.25">
      <c r="A61" s="15">
        <v>44</v>
      </c>
      <c r="B61" s="15">
        <v>75</v>
      </c>
      <c r="C61" s="15">
        <v>0.5</v>
      </c>
      <c r="D61" s="15">
        <v>1</v>
      </c>
      <c r="E61" s="15">
        <v>12.6</v>
      </c>
      <c r="F61" s="15" t="s">
        <v>52</v>
      </c>
      <c r="G61" s="15">
        <f t="shared" si="0"/>
        <v>0</v>
      </c>
      <c r="H61" s="18">
        <v>156</v>
      </c>
      <c r="I61" s="15">
        <f t="shared" si="1"/>
        <v>81</v>
      </c>
    </row>
    <row r="62" spans="1:9" x14ac:dyDescent="0.25">
      <c r="A62" s="15">
        <v>45</v>
      </c>
      <c r="B62" s="15">
        <v>75</v>
      </c>
      <c r="C62" s="15">
        <v>0.5</v>
      </c>
      <c r="D62" s="15">
        <v>1</v>
      </c>
      <c r="E62" s="15">
        <v>12.6</v>
      </c>
      <c r="F62" s="15" t="s">
        <v>51</v>
      </c>
      <c r="G62" s="15">
        <f t="shared" si="0"/>
        <v>1</v>
      </c>
      <c r="H62" s="18">
        <v>144</v>
      </c>
      <c r="I62" s="15">
        <f t="shared" si="1"/>
        <v>69</v>
      </c>
    </row>
    <row r="63" spans="1:9" x14ac:dyDescent="0.25">
      <c r="A63" s="15">
        <v>46</v>
      </c>
      <c r="B63" s="15">
        <v>75</v>
      </c>
      <c r="C63" s="15">
        <v>0.5</v>
      </c>
      <c r="D63" s="15">
        <v>1</v>
      </c>
      <c r="E63" s="15">
        <v>12.6</v>
      </c>
      <c r="F63" s="15" t="s">
        <v>52</v>
      </c>
      <c r="G63" s="15">
        <f t="shared" si="0"/>
        <v>0</v>
      </c>
      <c r="H63" s="18">
        <v>124</v>
      </c>
      <c r="I63" s="15">
        <f t="shared" si="1"/>
        <v>49</v>
      </c>
    </row>
    <row r="64" spans="1:9" x14ac:dyDescent="0.25">
      <c r="A64" s="15">
        <v>47</v>
      </c>
      <c r="B64" s="15">
        <v>75</v>
      </c>
      <c r="C64" s="15">
        <v>0.5</v>
      </c>
      <c r="D64" s="15">
        <v>1</v>
      </c>
      <c r="E64" s="15">
        <v>12.7</v>
      </c>
      <c r="F64" s="15" t="s">
        <v>51</v>
      </c>
      <c r="G64" s="15">
        <f t="shared" si="0"/>
        <v>1</v>
      </c>
      <c r="H64" s="18">
        <v>146</v>
      </c>
      <c r="I64" s="15">
        <f t="shared" si="1"/>
        <v>71</v>
      </c>
    </row>
    <row r="65" spans="1:9" x14ac:dyDescent="0.25">
      <c r="A65" s="15">
        <v>48</v>
      </c>
      <c r="B65" s="15">
        <v>75</v>
      </c>
      <c r="C65" s="15">
        <v>0.5</v>
      </c>
      <c r="D65" s="15">
        <v>1</v>
      </c>
      <c r="E65" s="15">
        <v>12.7</v>
      </c>
      <c r="F65" s="15" t="s">
        <v>52</v>
      </c>
      <c r="G65" s="15">
        <f t="shared" si="0"/>
        <v>0</v>
      </c>
      <c r="H65" s="18">
        <v>153</v>
      </c>
      <c r="I65" s="15">
        <f t="shared" si="1"/>
        <v>78</v>
      </c>
    </row>
    <row r="66" spans="1:9" x14ac:dyDescent="0.25">
      <c r="A66" s="15">
        <v>49</v>
      </c>
      <c r="B66" s="15">
        <v>75</v>
      </c>
      <c r="C66" s="15">
        <v>0.5</v>
      </c>
      <c r="D66" s="15">
        <v>1</v>
      </c>
      <c r="E66" s="15">
        <v>12.7</v>
      </c>
      <c r="F66" s="15" t="s">
        <v>51</v>
      </c>
      <c r="G66" s="15">
        <f t="shared" si="0"/>
        <v>1</v>
      </c>
      <c r="H66" s="18">
        <v>147</v>
      </c>
      <c r="I66" s="15">
        <f t="shared" si="1"/>
        <v>72</v>
      </c>
    </row>
    <row r="67" spans="1:9" x14ac:dyDescent="0.25">
      <c r="A67" s="15">
        <v>50</v>
      </c>
      <c r="B67" s="15">
        <v>75</v>
      </c>
      <c r="C67" s="15">
        <v>0.5</v>
      </c>
      <c r="D67" s="15">
        <v>1</v>
      </c>
      <c r="E67" s="15">
        <v>12.7</v>
      </c>
      <c r="F67" s="15" t="s">
        <v>52</v>
      </c>
      <c r="G67" s="15">
        <f t="shared" si="0"/>
        <v>0</v>
      </c>
      <c r="H67" s="18">
        <v>145</v>
      </c>
      <c r="I67" s="15">
        <f t="shared" si="1"/>
        <v>70</v>
      </c>
    </row>
    <row r="68" spans="1:9" x14ac:dyDescent="0.25">
      <c r="A68" s="15">
        <v>51</v>
      </c>
      <c r="B68" s="15">
        <v>75</v>
      </c>
      <c r="C68" s="15">
        <v>0.5</v>
      </c>
      <c r="D68" s="15">
        <v>1</v>
      </c>
      <c r="E68" s="15">
        <v>12.7</v>
      </c>
      <c r="F68" s="15" t="s">
        <v>52</v>
      </c>
      <c r="G68" s="15">
        <f t="shared" si="0"/>
        <v>0</v>
      </c>
      <c r="H68" s="18">
        <v>154</v>
      </c>
      <c r="I68" s="15">
        <f t="shared" si="1"/>
        <v>79</v>
      </c>
    </row>
    <row r="69" spans="1:9" x14ac:dyDescent="0.25">
      <c r="A69" s="15">
        <v>52</v>
      </c>
      <c r="B69" s="15">
        <v>75</v>
      </c>
      <c r="C69" s="15">
        <v>0.5</v>
      </c>
      <c r="D69" s="15">
        <v>1</v>
      </c>
      <c r="E69" s="15">
        <v>12.7</v>
      </c>
      <c r="F69" s="15" t="s">
        <v>51</v>
      </c>
      <c r="G69" s="15">
        <f t="shared" si="0"/>
        <v>1</v>
      </c>
      <c r="H69" s="18">
        <v>134</v>
      </c>
      <c r="I69" s="15">
        <f t="shared" si="1"/>
        <v>59</v>
      </c>
    </row>
    <row r="70" spans="1:9" x14ac:dyDescent="0.25">
      <c r="A70" s="15">
        <v>53</v>
      </c>
      <c r="B70" s="15">
        <v>75</v>
      </c>
      <c r="C70" s="15">
        <v>0.5</v>
      </c>
      <c r="D70" s="15">
        <v>1</v>
      </c>
      <c r="E70" s="15">
        <v>12.6</v>
      </c>
      <c r="F70" s="15" t="s">
        <v>52</v>
      </c>
      <c r="G70" s="15">
        <f t="shared" si="0"/>
        <v>0</v>
      </c>
      <c r="H70" s="18">
        <v>160</v>
      </c>
      <c r="I70" s="15">
        <f t="shared" si="1"/>
        <v>85</v>
      </c>
    </row>
    <row r="71" spans="1:9" x14ac:dyDescent="0.25">
      <c r="A71" s="15">
        <v>54</v>
      </c>
      <c r="B71" s="15">
        <v>75</v>
      </c>
      <c r="C71" s="15">
        <v>0.5</v>
      </c>
      <c r="D71" s="15">
        <v>1</v>
      </c>
      <c r="E71" s="15">
        <v>12.7</v>
      </c>
      <c r="F71" s="15" t="s">
        <v>51</v>
      </c>
      <c r="G71" s="15">
        <f t="shared" si="0"/>
        <v>1</v>
      </c>
      <c r="H71" s="18">
        <v>126</v>
      </c>
      <c r="I71" s="15">
        <f t="shared" si="1"/>
        <v>51</v>
      </c>
    </row>
    <row r="72" spans="1:9" x14ac:dyDescent="0.25">
      <c r="A72" s="15">
        <v>55</v>
      </c>
      <c r="B72" s="15">
        <v>75</v>
      </c>
      <c r="C72" s="15">
        <v>0.5</v>
      </c>
      <c r="D72" s="15">
        <v>1</v>
      </c>
      <c r="E72" s="15">
        <v>12.6</v>
      </c>
      <c r="F72" s="15" t="s">
        <v>52</v>
      </c>
      <c r="G72" s="15">
        <f t="shared" si="0"/>
        <v>0</v>
      </c>
      <c r="H72" s="18">
        <v>142</v>
      </c>
      <c r="I72" s="15">
        <f t="shared" si="1"/>
        <v>67</v>
      </c>
    </row>
    <row r="73" spans="1:9" x14ac:dyDescent="0.25">
      <c r="A73" s="15">
        <v>56</v>
      </c>
      <c r="B73" s="15">
        <v>75</v>
      </c>
      <c r="C73" s="15">
        <v>0.5</v>
      </c>
      <c r="D73" s="15">
        <v>1</v>
      </c>
      <c r="E73" s="15">
        <v>12.6</v>
      </c>
      <c r="F73" s="15" t="s">
        <v>51</v>
      </c>
      <c r="G73" s="15">
        <f t="shared" si="0"/>
        <v>1</v>
      </c>
      <c r="H73" s="18">
        <v>152</v>
      </c>
      <c r="I73" s="15">
        <f t="shared" si="1"/>
        <v>77</v>
      </c>
    </row>
    <row r="74" spans="1:9" x14ac:dyDescent="0.25">
      <c r="A74" s="15">
        <v>57</v>
      </c>
      <c r="B74" s="15">
        <v>75</v>
      </c>
      <c r="C74" s="15">
        <v>0.5</v>
      </c>
      <c r="D74" s="15">
        <v>1</v>
      </c>
      <c r="E74" s="15">
        <v>12.6</v>
      </c>
      <c r="F74" s="15" t="s">
        <v>52</v>
      </c>
      <c r="G74" s="15">
        <f t="shared" si="0"/>
        <v>0</v>
      </c>
      <c r="H74" s="18">
        <v>138</v>
      </c>
      <c r="I74" s="15">
        <f t="shared" si="1"/>
        <v>63</v>
      </c>
    </row>
    <row r="75" spans="1:9" x14ac:dyDescent="0.25">
      <c r="A75" s="15">
        <v>58</v>
      </c>
      <c r="B75" s="15">
        <v>75</v>
      </c>
      <c r="C75" s="15">
        <v>0.5</v>
      </c>
      <c r="D75" s="15">
        <v>1</v>
      </c>
      <c r="E75" s="15">
        <v>12.6</v>
      </c>
      <c r="F75" s="15" t="s">
        <v>51</v>
      </c>
      <c r="G75" s="15">
        <f t="shared" si="0"/>
        <v>1</v>
      </c>
      <c r="H75" s="18">
        <v>136</v>
      </c>
      <c r="I75" s="15">
        <f t="shared" si="1"/>
        <v>61</v>
      </c>
    </row>
    <row r="76" spans="1:9" x14ac:dyDescent="0.25">
      <c r="A76" s="15">
        <v>59</v>
      </c>
      <c r="B76" s="15">
        <v>75</v>
      </c>
      <c r="C76" s="15">
        <v>0.5</v>
      </c>
      <c r="D76" s="15">
        <v>1</v>
      </c>
      <c r="E76" s="15">
        <v>12.6</v>
      </c>
      <c r="F76" s="15" t="s">
        <v>52</v>
      </c>
      <c r="G76" s="15">
        <f t="shared" si="0"/>
        <v>0</v>
      </c>
      <c r="H76" s="18">
        <v>147</v>
      </c>
      <c r="I76" s="15">
        <f t="shared" si="1"/>
        <v>72</v>
      </c>
    </row>
    <row r="77" spans="1:9" x14ac:dyDescent="0.25">
      <c r="A77" s="15">
        <v>60</v>
      </c>
      <c r="B77" s="15">
        <v>75</v>
      </c>
      <c r="C77" s="15">
        <v>0.5</v>
      </c>
      <c r="D77" s="15">
        <v>1</v>
      </c>
      <c r="E77" s="15">
        <v>12.6</v>
      </c>
      <c r="F77" s="15" t="s">
        <v>51</v>
      </c>
      <c r="G77" s="15">
        <f t="shared" si="0"/>
        <v>1</v>
      </c>
      <c r="H77" s="18">
        <v>134</v>
      </c>
      <c r="I77" s="15">
        <f t="shared" si="1"/>
        <v>59</v>
      </c>
    </row>
    <row r="78" spans="1:9" x14ac:dyDescent="0.25">
      <c r="A78" s="15">
        <v>61</v>
      </c>
      <c r="B78" s="15">
        <v>75</v>
      </c>
      <c r="C78" s="15">
        <v>0.5</v>
      </c>
      <c r="D78" s="15">
        <v>1</v>
      </c>
      <c r="E78" s="15">
        <v>12.6</v>
      </c>
      <c r="F78" s="15" t="s">
        <v>52</v>
      </c>
      <c r="G78" s="15">
        <f t="shared" si="0"/>
        <v>0</v>
      </c>
      <c r="H78" s="18">
        <v>122</v>
      </c>
      <c r="I78" s="15">
        <f t="shared" si="1"/>
        <v>47</v>
      </c>
    </row>
    <row r="79" spans="1:9" x14ac:dyDescent="0.25">
      <c r="A79" s="15">
        <v>62</v>
      </c>
      <c r="B79" s="15">
        <v>75</v>
      </c>
      <c r="C79" s="15">
        <v>0.5</v>
      </c>
      <c r="D79" s="15">
        <v>1</v>
      </c>
      <c r="E79" s="15">
        <v>12.7</v>
      </c>
      <c r="F79" s="15" t="s">
        <v>51</v>
      </c>
      <c r="G79" s="15">
        <f t="shared" si="0"/>
        <v>1</v>
      </c>
      <c r="H79" s="18">
        <v>140</v>
      </c>
      <c r="I79" s="15">
        <f t="shared" si="1"/>
        <v>65</v>
      </c>
    </row>
    <row r="80" spans="1:9" x14ac:dyDescent="0.25">
      <c r="A80" s="15">
        <v>63</v>
      </c>
      <c r="B80" s="15">
        <v>75</v>
      </c>
      <c r="C80" s="15">
        <v>0.5</v>
      </c>
      <c r="D80" s="15">
        <v>1</v>
      </c>
      <c r="E80" s="15">
        <v>12.6</v>
      </c>
      <c r="F80" s="15" t="s">
        <v>52</v>
      </c>
      <c r="G80" s="15">
        <f t="shared" si="0"/>
        <v>0</v>
      </c>
      <c r="H80" s="18">
        <v>151</v>
      </c>
      <c r="I80" s="15">
        <f t="shared" si="1"/>
        <v>76</v>
      </c>
    </row>
    <row r="81" spans="1:9" x14ac:dyDescent="0.25">
      <c r="A81" s="15">
        <v>64</v>
      </c>
      <c r="B81" s="15">
        <v>75</v>
      </c>
      <c r="C81" s="15">
        <v>0.5</v>
      </c>
      <c r="D81" s="15">
        <v>1</v>
      </c>
      <c r="E81" s="15">
        <v>12.6</v>
      </c>
      <c r="F81" s="15" t="s">
        <v>51</v>
      </c>
      <c r="G81" s="15">
        <f t="shared" si="0"/>
        <v>1</v>
      </c>
      <c r="H81" s="18">
        <v>145</v>
      </c>
      <c r="I81" s="15">
        <f t="shared" si="1"/>
        <v>70</v>
      </c>
    </row>
    <row r="82" spans="1:9" x14ac:dyDescent="0.25">
      <c r="A82" s="15">
        <v>65</v>
      </c>
      <c r="B82" s="15">
        <v>75</v>
      </c>
      <c r="C82" s="15">
        <v>0.5</v>
      </c>
      <c r="D82" s="15">
        <v>1</v>
      </c>
      <c r="E82" s="15">
        <v>12.6</v>
      </c>
      <c r="F82" s="15" t="s">
        <v>52</v>
      </c>
      <c r="G82" s="15">
        <f t="shared" ref="G82:G145" si="2">IF(F82="center", 1, 0)</f>
        <v>0</v>
      </c>
      <c r="H82" s="18">
        <v>149</v>
      </c>
      <c r="I82" s="15">
        <f t="shared" ref="I82:I145" si="3">H82-B82</f>
        <v>74</v>
      </c>
    </row>
    <row r="83" spans="1:9" x14ac:dyDescent="0.25">
      <c r="A83" s="15">
        <v>66</v>
      </c>
      <c r="B83" s="15">
        <v>75</v>
      </c>
      <c r="C83" s="15">
        <v>0.5</v>
      </c>
      <c r="D83" s="15">
        <v>1</v>
      </c>
      <c r="E83" s="15">
        <v>12.6</v>
      </c>
      <c r="F83" s="15" t="s">
        <v>51</v>
      </c>
      <c r="G83" s="15">
        <f t="shared" si="2"/>
        <v>1</v>
      </c>
      <c r="H83" s="18">
        <v>137</v>
      </c>
      <c r="I83" s="15">
        <f t="shared" si="3"/>
        <v>62</v>
      </c>
    </row>
    <row r="84" spans="1:9" x14ac:dyDescent="0.25">
      <c r="A84" s="15">
        <v>67</v>
      </c>
      <c r="B84" s="15">
        <v>75</v>
      </c>
      <c r="C84" s="15">
        <v>0.5</v>
      </c>
      <c r="D84" s="15">
        <v>1</v>
      </c>
      <c r="E84" s="15">
        <v>12.6</v>
      </c>
      <c r="F84" s="15" t="s">
        <v>52</v>
      </c>
      <c r="G84" s="15">
        <f t="shared" si="2"/>
        <v>0</v>
      </c>
      <c r="H84" s="18">
        <v>156</v>
      </c>
      <c r="I84" s="15">
        <f t="shared" si="3"/>
        <v>81</v>
      </c>
    </row>
    <row r="85" spans="1:9" x14ac:dyDescent="0.25">
      <c r="A85" s="15">
        <v>68</v>
      </c>
      <c r="B85" s="15">
        <v>75</v>
      </c>
      <c r="C85" s="15">
        <v>0.5</v>
      </c>
      <c r="D85" s="15">
        <v>1</v>
      </c>
      <c r="E85" s="15">
        <v>12.6</v>
      </c>
      <c r="F85" s="15" t="s">
        <v>51</v>
      </c>
      <c r="G85" s="15">
        <f t="shared" si="2"/>
        <v>1</v>
      </c>
      <c r="H85" s="18">
        <v>120</v>
      </c>
      <c r="I85" s="15">
        <f t="shared" si="3"/>
        <v>45</v>
      </c>
    </row>
    <row r="86" spans="1:9" x14ac:dyDescent="0.25">
      <c r="A86" s="15">
        <v>69</v>
      </c>
      <c r="B86" s="15">
        <v>75</v>
      </c>
      <c r="C86" s="15">
        <v>0.5</v>
      </c>
      <c r="D86" s="15">
        <v>1</v>
      </c>
      <c r="E86" s="15">
        <v>12.6</v>
      </c>
      <c r="F86" s="15" t="s">
        <v>52</v>
      </c>
      <c r="G86" s="15">
        <f t="shared" si="2"/>
        <v>0</v>
      </c>
      <c r="H86" s="18">
        <v>127</v>
      </c>
      <c r="I86" s="15">
        <f t="shared" si="3"/>
        <v>52</v>
      </c>
    </row>
    <row r="87" spans="1:9" x14ac:dyDescent="0.25">
      <c r="A87" s="15">
        <v>70</v>
      </c>
      <c r="B87" s="15">
        <v>75</v>
      </c>
      <c r="C87" s="15">
        <v>0.5</v>
      </c>
      <c r="D87" s="15">
        <v>1</v>
      </c>
      <c r="E87" s="15">
        <v>12.6</v>
      </c>
      <c r="F87" s="15" t="s">
        <v>51</v>
      </c>
      <c r="G87" s="15">
        <f t="shared" si="2"/>
        <v>1</v>
      </c>
      <c r="H87" s="18">
        <v>127</v>
      </c>
      <c r="I87" s="15">
        <f t="shared" si="3"/>
        <v>52</v>
      </c>
    </row>
    <row r="88" spans="1:9" x14ac:dyDescent="0.25">
      <c r="A88" s="15">
        <v>71</v>
      </c>
      <c r="B88" s="15">
        <v>75</v>
      </c>
      <c r="C88" s="15">
        <v>0.5</v>
      </c>
      <c r="D88" s="15">
        <v>1</v>
      </c>
      <c r="E88" s="15">
        <v>12.6</v>
      </c>
      <c r="F88" s="15" t="s">
        <v>52</v>
      </c>
      <c r="G88" s="15">
        <f t="shared" si="2"/>
        <v>0</v>
      </c>
      <c r="H88" s="18">
        <v>139</v>
      </c>
      <c r="I88" s="15">
        <f t="shared" si="3"/>
        <v>64</v>
      </c>
    </row>
    <row r="89" spans="1:9" x14ac:dyDescent="0.25">
      <c r="A89" s="15">
        <v>72</v>
      </c>
      <c r="B89" s="15">
        <v>75</v>
      </c>
      <c r="C89" s="15">
        <v>0.5</v>
      </c>
      <c r="D89" s="15">
        <v>1</v>
      </c>
      <c r="E89" s="15">
        <v>12.6</v>
      </c>
      <c r="F89" s="15" t="s">
        <v>51</v>
      </c>
      <c r="G89" s="15">
        <f t="shared" si="2"/>
        <v>1</v>
      </c>
      <c r="H89" s="18">
        <v>139</v>
      </c>
      <c r="I89" s="15">
        <f t="shared" si="3"/>
        <v>64</v>
      </c>
    </row>
    <row r="90" spans="1:9" x14ac:dyDescent="0.25">
      <c r="A90" s="15">
        <v>73</v>
      </c>
      <c r="B90" s="15">
        <v>75</v>
      </c>
      <c r="C90" s="15">
        <v>0.5</v>
      </c>
      <c r="D90" s="15">
        <v>1</v>
      </c>
      <c r="E90" s="15">
        <v>12.6</v>
      </c>
      <c r="F90" s="15" t="s">
        <v>52</v>
      </c>
      <c r="G90" s="15">
        <f t="shared" si="2"/>
        <v>0</v>
      </c>
      <c r="H90" s="18">
        <v>152</v>
      </c>
      <c r="I90" s="15">
        <f t="shared" si="3"/>
        <v>77</v>
      </c>
    </row>
    <row r="91" spans="1:9" x14ac:dyDescent="0.25">
      <c r="A91" s="15">
        <v>74</v>
      </c>
      <c r="B91" s="15">
        <v>75</v>
      </c>
      <c r="C91" s="15">
        <v>0.5</v>
      </c>
      <c r="D91" s="15">
        <v>1</v>
      </c>
      <c r="E91" s="15">
        <v>12.6</v>
      </c>
      <c r="F91" s="15" t="s">
        <v>51</v>
      </c>
      <c r="G91" s="15">
        <f t="shared" si="2"/>
        <v>1</v>
      </c>
      <c r="H91" s="18">
        <v>138</v>
      </c>
      <c r="I91" s="15">
        <f t="shared" si="3"/>
        <v>63</v>
      </c>
    </row>
    <row r="92" spans="1:9" x14ac:dyDescent="0.25">
      <c r="A92" s="15">
        <v>75</v>
      </c>
      <c r="B92" s="15">
        <v>75</v>
      </c>
      <c r="C92" s="15">
        <v>0.5</v>
      </c>
      <c r="D92" s="15">
        <v>1</v>
      </c>
      <c r="E92" s="15">
        <v>12.6</v>
      </c>
      <c r="F92" s="15" t="s">
        <v>52</v>
      </c>
      <c r="G92" s="15">
        <f t="shared" si="2"/>
        <v>0</v>
      </c>
      <c r="H92" s="18">
        <v>156</v>
      </c>
      <c r="I92" s="15">
        <f t="shared" si="3"/>
        <v>81</v>
      </c>
    </row>
    <row r="93" spans="1:9" x14ac:dyDescent="0.25">
      <c r="A93" s="15">
        <v>76</v>
      </c>
      <c r="B93" s="15">
        <v>75</v>
      </c>
      <c r="C93" s="15">
        <v>0.5</v>
      </c>
      <c r="D93" s="15">
        <v>1</v>
      </c>
      <c r="E93" s="15">
        <v>12.6</v>
      </c>
      <c r="F93" s="15" t="s">
        <v>51</v>
      </c>
      <c r="G93" s="15">
        <f t="shared" si="2"/>
        <v>1</v>
      </c>
      <c r="H93" s="18">
        <v>137</v>
      </c>
      <c r="I93" s="15">
        <f t="shared" si="3"/>
        <v>62</v>
      </c>
    </row>
    <row r="94" spans="1:9" x14ac:dyDescent="0.25">
      <c r="A94" s="15">
        <v>77</v>
      </c>
      <c r="B94" s="15">
        <v>75</v>
      </c>
      <c r="C94" s="15">
        <v>0.5</v>
      </c>
      <c r="D94" s="15">
        <v>1</v>
      </c>
      <c r="E94" s="15">
        <v>12.6</v>
      </c>
      <c r="F94" s="15" t="s">
        <v>52</v>
      </c>
      <c r="G94" s="15">
        <f t="shared" si="2"/>
        <v>0</v>
      </c>
      <c r="H94" s="18">
        <v>172</v>
      </c>
      <c r="I94" s="15">
        <f t="shared" si="3"/>
        <v>97</v>
      </c>
    </row>
    <row r="95" spans="1:9" x14ac:dyDescent="0.25">
      <c r="A95" s="15">
        <v>78</v>
      </c>
      <c r="B95" s="15">
        <v>75</v>
      </c>
      <c r="C95" s="15">
        <v>0.5</v>
      </c>
      <c r="D95" s="15">
        <v>1</v>
      </c>
      <c r="E95" s="15">
        <v>12.6</v>
      </c>
      <c r="F95" s="15" t="s">
        <v>51</v>
      </c>
      <c r="G95" s="15">
        <f t="shared" si="2"/>
        <v>1</v>
      </c>
      <c r="H95" s="18">
        <v>140</v>
      </c>
      <c r="I95" s="15">
        <f t="shared" si="3"/>
        <v>65</v>
      </c>
    </row>
    <row r="96" spans="1:9" x14ac:dyDescent="0.25">
      <c r="A96" s="15">
        <v>79</v>
      </c>
      <c r="B96" s="15">
        <v>75</v>
      </c>
      <c r="C96" s="15">
        <v>0.5</v>
      </c>
      <c r="D96" s="15">
        <v>1</v>
      </c>
      <c r="E96" s="15">
        <v>12.6</v>
      </c>
      <c r="F96" s="15" t="s">
        <v>52</v>
      </c>
      <c r="G96" s="15">
        <f t="shared" si="2"/>
        <v>0</v>
      </c>
      <c r="H96" s="18">
        <v>151</v>
      </c>
      <c r="I96" s="15">
        <f t="shared" si="3"/>
        <v>76</v>
      </c>
    </row>
    <row r="97" spans="1:9" x14ac:dyDescent="0.25">
      <c r="A97" s="15">
        <v>80</v>
      </c>
      <c r="B97" s="15">
        <v>75</v>
      </c>
      <c r="C97" s="15">
        <v>0.5</v>
      </c>
      <c r="D97" s="15">
        <v>1</v>
      </c>
      <c r="E97" s="15">
        <v>12.6</v>
      </c>
      <c r="F97" s="15" t="s">
        <v>51</v>
      </c>
      <c r="G97" s="15">
        <f t="shared" si="2"/>
        <v>1</v>
      </c>
      <c r="H97" s="18">
        <v>153</v>
      </c>
      <c r="I97" s="15">
        <f t="shared" si="3"/>
        <v>78</v>
      </c>
    </row>
    <row r="98" spans="1:9" x14ac:dyDescent="0.25">
      <c r="A98" s="15">
        <v>81</v>
      </c>
      <c r="B98" s="15">
        <v>75</v>
      </c>
      <c r="C98" s="15">
        <v>0.5</v>
      </c>
      <c r="D98" s="15">
        <v>1</v>
      </c>
      <c r="E98" s="15">
        <v>12.6</v>
      </c>
      <c r="F98" s="15" t="s">
        <v>52</v>
      </c>
      <c r="G98" s="15">
        <f t="shared" si="2"/>
        <v>0</v>
      </c>
      <c r="H98" s="18">
        <v>151</v>
      </c>
      <c r="I98" s="15">
        <f t="shared" si="3"/>
        <v>76</v>
      </c>
    </row>
    <row r="99" spans="1:9" x14ac:dyDescent="0.25">
      <c r="A99" s="15">
        <v>82</v>
      </c>
      <c r="B99" s="15">
        <v>75</v>
      </c>
      <c r="C99" s="15">
        <v>0.5</v>
      </c>
      <c r="D99" s="15">
        <v>1</v>
      </c>
      <c r="E99" s="15">
        <v>12.6</v>
      </c>
      <c r="F99" s="15" t="s">
        <v>51</v>
      </c>
      <c r="G99" s="15">
        <f t="shared" si="2"/>
        <v>1</v>
      </c>
      <c r="H99" s="18">
        <v>146</v>
      </c>
      <c r="I99" s="15">
        <f t="shared" si="3"/>
        <v>71</v>
      </c>
    </row>
    <row r="100" spans="1:9" x14ac:dyDescent="0.25">
      <c r="A100" s="15">
        <v>83</v>
      </c>
      <c r="B100" s="15">
        <v>75</v>
      </c>
      <c r="C100" s="15">
        <v>0.5</v>
      </c>
      <c r="D100" s="15">
        <v>1</v>
      </c>
      <c r="E100" s="15">
        <v>12.6</v>
      </c>
      <c r="F100" s="15" t="s">
        <v>52</v>
      </c>
      <c r="G100" s="15">
        <f t="shared" si="2"/>
        <v>0</v>
      </c>
      <c r="H100" s="18">
        <v>162</v>
      </c>
      <c r="I100" s="15">
        <f t="shared" si="3"/>
        <v>87</v>
      </c>
    </row>
    <row r="101" spans="1:9" x14ac:dyDescent="0.25">
      <c r="A101" s="15">
        <v>84</v>
      </c>
      <c r="B101" s="15">
        <v>75</v>
      </c>
      <c r="C101" s="15">
        <v>0.5</v>
      </c>
      <c r="D101" s="15">
        <v>1</v>
      </c>
      <c r="E101" s="15">
        <v>12.6</v>
      </c>
      <c r="F101" s="15" t="s">
        <v>52</v>
      </c>
      <c r="G101" s="15">
        <f t="shared" si="2"/>
        <v>0</v>
      </c>
      <c r="H101" s="18">
        <v>150</v>
      </c>
      <c r="I101" s="15">
        <f t="shared" si="3"/>
        <v>75</v>
      </c>
    </row>
    <row r="102" spans="1:9" x14ac:dyDescent="0.25">
      <c r="A102" s="15">
        <v>85</v>
      </c>
      <c r="B102" s="15">
        <v>75</v>
      </c>
      <c r="C102" s="15">
        <v>0.5</v>
      </c>
      <c r="D102" s="15">
        <v>1</v>
      </c>
      <c r="E102" s="15">
        <v>12.6</v>
      </c>
      <c r="F102" s="15" t="s">
        <v>51</v>
      </c>
      <c r="G102" s="15">
        <f t="shared" si="2"/>
        <v>1</v>
      </c>
      <c r="H102" s="18">
        <v>136</v>
      </c>
      <c r="I102" s="15">
        <f t="shared" si="3"/>
        <v>61</v>
      </c>
    </row>
    <row r="103" spans="1:9" x14ac:dyDescent="0.25">
      <c r="A103" s="15">
        <v>86</v>
      </c>
      <c r="B103" s="15">
        <v>75</v>
      </c>
      <c r="C103" s="15">
        <v>0.5</v>
      </c>
      <c r="D103" s="15">
        <v>1</v>
      </c>
      <c r="E103" s="15">
        <v>12.6</v>
      </c>
      <c r="F103" s="15" t="s">
        <v>52</v>
      </c>
      <c r="G103" s="15">
        <f t="shared" si="2"/>
        <v>0</v>
      </c>
      <c r="H103" s="18">
        <v>149</v>
      </c>
      <c r="I103" s="15">
        <f t="shared" si="3"/>
        <v>74</v>
      </c>
    </row>
    <row r="104" spans="1:9" x14ac:dyDescent="0.25">
      <c r="A104" s="15">
        <v>87</v>
      </c>
      <c r="B104" s="15">
        <v>75</v>
      </c>
      <c r="C104" s="15">
        <v>0.5</v>
      </c>
      <c r="D104" s="15">
        <v>1</v>
      </c>
      <c r="E104" s="15">
        <v>12.6</v>
      </c>
      <c r="F104" s="15" t="s">
        <v>52</v>
      </c>
      <c r="G104" s="15">
        <f t="shared" si="2"/>
        <v>0</v>
      </c>
      <c r="H104" s="18">
        <v>146</v>
      </c>
      <c r="I104" s="15">
        <f t="shared" si="3"/>
        <v>71</v>
      </c>
    </row>
    <row r="105" spans="1:9" x14ac:dyDescent="0.25">
      <c r="A105" s="15">
        <v>88</v>
      </c>
      <c r="B105" s="15">
        <v>75</v>
      </c>
      <c r="C105" s="15">
        <v>0.5</v>
      </c>
      <c r="D105" s="15">
        <v>1</v>
      </c>
      <c r="E105" s="15">
        <v>12.6</v>
      </c>
      <c r="F105" s="15" t="s">
        <v>51</v>
      </c>
      <c r="G105" s="15">
        <f t="shared" si="2"/>
        <v>1</v>
      </c>
      <c r="H105" s="18">
        <v>142</v>
      </c>
      <c r="I105" s="15">
        <f t="shared" si="3"/>
        <v>67</v>
      </c>
    </row>
    <row r="106" spans="1:9" x14ac:dyDescent="0.25">
      <c r="A106" s="15">
        <v>89</v>
      </c>
      <c r="B106" s="15">
        <v>75</v>
      </c>
      <c r="C106" s="15">
        <v>0.5</v>
      </c>
      <c r="D106" s="15">
        <v>1</v>
      </c>
      <c r="E106" s="15">
        <v>12.6</v>
      </c>
      <c r="F106" s="15" t="s">
        <v>51</v>
      </c>
      <c r="G106" s="15">
        <f t="shared" si="2"/>
        <v>1</v>
      </c>
      <c r="H106" s="18">
        <v>141</v>
      </c>
      <c r="I106" s="15">
        <f t="shared" si="3"/>
        <v>66</v>
      </c>
    </row>
    <row r="107" spans="1:9" x14ac:dyDescent="0.25">
      <c r="A107" s="15">
        <v>90</v>
      </c>
      <c r="B107" s="15">
        <v>75</v>
      </c>
      <c r="C107" s="15">
        <v>0.5</v>
      </c>
      <c r="D107" s="15">
        <v>1</v>
      </c>
      <c r="E107" s="15">
        <v>12.6</v>
      </c>
      <c r="F107" s="15" t="s">
        <v>52</v>
      </c>
      <c r="G107" s="15">
        <f t="shared" si="2"/>
        <v>0</v>
      </c>
      <c r="H107" s="18">
        <v>154</v>
      </c>
      <c r="I107" s="15">
        <f t="shared" si="3"/>
        <v>79</v>
      </c>
    </row>
    <row r="108" spans="1:9" x14ac:dyDescent="0.25">
      <c r="A108" s="15">
        <v>91</v>
      </c>
      <c r="B108" s="15">
        <v>75</v>
      </c>
      <c r="C108" s="15">
        <v>0.5</v>
      </c>
      <c r="D108" s="15">
        <v>1</v>
      </c>
      <c r="E108" s="15">
        <v>12.5</v>
      </c>
      <c r="F108" s="15" t="s">
        <v>51</v>
      </c>
      <c r="G108" s="15">
        <f t="shared" si="2"/>
        <v>1</v>
      </c>
      <c r="H108" s="18">
        <v>150</v>
      </c>
      <c r="I108" s="15">
        <f t="shared" si="3"/>
        <v>75</v>
      </c>
    </row>
    <row r="109" spans="1:9" x14ac:dyDescent="0.25">
      <c r="A109" s="15">
        <v>92</v>
      </c>
      <c r="B109" s="15">
        <v>75</v>
      </c>
      <c r="C109" s="15">
        <v>0.5</v>
      </c>
      <c r="D109" s="15">
        <v>1</v>
      </c>
      <c r="E109" s="15">
        <v>12.5</v>
      </c>
      <c r="F109" s="15" t="s">
        <v>52</v>
      </c>
      <c r="G109" s="15">
        <f t="shared" si="2"/>
        <v>0</v>
      </c>
      <c r="H109" s="18">
        <v>144</v>
      </c>
      <c r="I109" s="15">
        <f t="shared" si="3"/>
        <v>69</v>
      </c>
    </row>
    <row r="110" spans="1:9" x14ac:dyDescent="0.25">
      <c r="A110" s="15">
        <v>93</v>
      </c>
      <c r="B110" s="15">
        <v>75</v>
      </c>
      <c r="C110" s="15">
        <v>0.5</v>
      </c>
      <c r="D110" s="15">
        <v>1</v>
      </c>
      <c r="E110" s="15">
        <v>12.6</v>
      </c>
      <c r="F110" s="15" t="s">
        <v>51</v>
      </c>
      <c r="G110" s="15">
        <f t="shared" si="2"/>
        <v>1</v>
      </c>
      <c r="H110" s="18">
        <v>141</v>
      </c>
      <c r="I110" s="15">
        <f t="shared" si="3"/>
        <v>66</v>
      </c>
    </row>
    <row r="111" spans="1:9" x14ac:dyDescent="0.25">
      <c r="A111" s="15">
        <v>94</v>
      </c>
      <c r="B111" s="15">
        <v>75</v>
      </c>
      <c r="C111" s="15">
        <v>0.5</v>
      </c>
      <c r="D111" s="15">
        <v>1</v>
      </c>
      <c r="E111" s="15">
        <v>12.5</v>
      </c>
      <c r="F111" s="15" t="s">
        <v>52</v>
      </c>
      <c r="G111" s="15">
        <f t="shared" si="2"/>
        <v>0</v>
      </c>
      <c r="H111" s="18">
        <v>152</v>
      </c>
      <c r="I111" s="15">
        <f t="shared" si="3"/>
        <v>77</v>
      </c>
    </row>
    <row r="112" spans="1:9" x14ac:dyDescent="0.25">
      <c r="A112" s="15">
        <v>95</v>
      </c>
      <c r="B112" s="15">
        <v>75</v>
      </c>
      <c r="C112" s="15">
        <v>0.5</v>
      </c>
      <c r="D112" s="15">
        <v>1</v>
      </c>
      <c r="E112" s="15">
        <v>12.5</v>
      </c>
      <c r="F112" s="15" t="s">
        <v>51</v>
      </c>
      <c r="G112" s="15">
        <f t="shared" si="2"/>
        <v>1</v>
      </c>
      <c r="H112" s="18">
        <v>138</v>
      </c>
      <c r="I112" s="15">
        <f t="shared" si="3"/>
        <v>63</v>
      </c>
    </row>
    <row r="113" spans="1:9" x14ac:dyDescent="0.25">
      <c r="A113" s="15">
        <v>96</v>
      </c>
      <c r="B113" s="15">
        <v>75</v>
      </c>
      <c r="C113" s="15">
        <v>0.5</v>
      </c>
      <c r="D113" s="15">
        <v>1</v>
      </c>
      <c r="E113" s="15">
        <v>12.5</v>
      </c>
      <c r="F113" s="15" t="s">
        <v>51</v>
      </c>
      <c r="G113" s="15">
        <f t="shared" si="2"/>
        <v>1</v>
      </c>
      <c r="H113" s="18">
        <v>135</v>
      </c>
      <c r="I113" s="15">
        <f t="shared" si="3"/>
        <v>60</v>
      </c>
    </row>
    <row r="114" spans="1:9" x14ac:dyDescent="0.25">
      <c r="A114" s="15">
        <v>97</v>
      </c>
      <c r="B114" s="15">
        <v>75</v>
      </c>
      <c r="C114" s="15">
        <v>0.5</v>
      </c>
      <c r="D114" s="15">
        <v>1</v>
      </c>
      <c r="E114" s="15">
        <v>12.5</v>
      </c>
      <c r="F114" s="15" t="s">
        <v>52</v>
      </c>
      <c r="G114" s="15">
        <f t="shared" si="2"/>
        <v>0</v>
      </c>
      <c r="H114" s="18">
        <v>149</v>
      </c>
      <c r="I114" s="15">
        <f t="shared" si="3"/>
        <v>74</v>
      </c>
    </row>
    <row r="115" spans="1:9" x14ac:dyDescent="0.25">
      <c r="A115" s="15">
        <v>98</v>
      </c>
      <c r="B115" s="15">
        <v>75</v>
      </c>
      <c r="C115" s="15">
        <v>0.5</v>
      </c>
      <c r="D115" s="15">
        <v>1</v>
      </c>
      <c r="E115" s="15">
        <v>12.5</v>
      </c>
      <c r="F115" s="15" t="s">
        <v>51</v>
      </c>
      <c r="G115" s="15">
        <f t="shared" si="2"/>
        <v>1</v>
      </c>
      <c r="H115" s="18">
        <v>135</v>
      </c>
      <c r="I115" s="15">
        <f t="shared" si="3"/>
        <v>60</v>
      </c>
    </row>
    <row r="116" spans="1:9" x14ac:dyDescent="0.25">
      <c r="A116" s="15">
        <v>99</v>
      </c>
      <c r="B116" s="15">
        <v>75</v>
      </c>
      <c r="C116" s="15">
        <v>0.5</v>
      </c>
      <c r="D116" s="15">
        <v>1</v>
      </c>
      <c r="E116" s="15">
        <v>12.6</v>
      </c>
      <c r="F116" s="15" t="s">
        <v>52</v>
      </c>
      <c r="G116" s="15">
        <f t="shared" si="2"/>
        <v>0</v>
      </c>
      <c r="H116" s="18">
        <v>139</v>
      </c>
      <c r="I116" s="15">
        <f t="shared" si="3"/>
        <v>64</v>
      </c>
    </row>
    <row r="117" spans="1:9" x14ac:dyDescent="0.25">
      <c r="A117" s="15">
        <v>100</v>
      </c>
      <c r="B117" s="15">
        <v>75</v>
      </c>
      <c r="C117" s="15">
        <v>0.5</v>
      </c>
      <c r="D117" s="15">
        <v>1</v>
      </c>
      <c r="E117" s="15">
        <v>12.5</v>
      </c>
      <c r="F117" s="15" t="s">
        <v>51</v>
      </c>
      <c r="G117" s="15">
        <f t="shared" si="2"/>
        <v>1</v>
      </c>
      <c r="H117" s="18">
        <v>138</v>
      </c>
      <c r="I117" s="15">
        <f t="shared" si="3"/>
        <v>63</v>
      </c>
    </row>
    <row r="118" spans="1:9" x14ac:dyDescent="0.25">
      <c r="A118" s="15">
        <v>101</v>
      </c>
      <c r="B118" s="15">
        <v>75</v>
      </c>
      <c r="C118" s="15">
        <v>0.5</v>
      </c>
      <c r="D118" s="15">
        <v>1</v>
      </c>
      <c r="E118" s="15">
        <v>12.5</v>
      </c>
      <c r="F118" s="15" t="s">
        <v>52</v>
      </c>
      <c r="G118" s="15">
        <f t="shared" si="2"/>
        <v>0</v>
      </c>
      <c r="H118" s="18">
        <v>139</v>
      </c>
      <c r="I118" s="15">
        <f t="shared" si="3"/>
        <v>64</v>
      </c>
    </row>
    <row r="119" spans="1:9" x14ac:dyDescent="0.25">
      <c r="A119" s="15">
        <v>102</v>
      </c>
      <c r="B119" s="15">
        <v>75</v>
      </c>
      <c r="C119" s="15">
        <v>0.5</v>
      </c>
      <c r="D119" s="15">
        <v>1</v>
      </c>
      <c r="E119" s="15">
        <v>12.6</v>
      </c>
      <c r="F119" s="15" t="s">
        <v>51</v>
      </c>
      <c r="G119" s="15">
        <f t="shared" si="2"/>
        <v>1</v>
      </c>
      <c r="H119" s="18">
        <v>127</v>
      </c>
      <c r="I119" s="15">
        <f t="shared" si="3"/>
        <v>52</v>
      </c>
    </row>
    <row r="120" spans="1:9" x14ac:dyDescent="0.25">
      <c r="A120" s="15">
        <v>103</v>
      </c>
      <c r="B120" s="15">
        <v>75</v>
      </c>
      <c r="C120" s="15">
        <v>0.5</v>
      </c>
      <c r="D120" s="15">
        <v>1</v>
      </c>
      <c r="E120" s="15">
        <v>12.6</v>
      </c>
      <c r="F120" s="15" t="s">
        <v>52</v>
      </c>
      <c r="G120" s="15">
        <f t="shared" si="2"/>
        <v>0</v>
      </c>
      <c r="H120" s="18">
        <v>145</v>
      </c>
      <c r="I120" s="15">
        <f t="shared" si="3"/>
        <v>70</v>
      </c>
    </row>
    <row r="121" spans="1:9" x14ac:dyDescent="0.25">
      <c r="A121" s="15">
        <v>104</v>
      </c>
      <c r="B121" s="15">
        <v>75</v>
      </c>
      <c r="C121" s="15">
        <v>0.5</v>
      </c>
      <c r="D121" s="15">
        <v>1</v>
      </c>
      <c r="E121" s="15">
        <v>12.5</v>
      </c>
      <c r="F121" s="15" t="s">
        <v>51</v>
      </c>
      <c r="G121" s="15">
        <f t="shared" si="2"/>
        <v>1</v>
      </c>
      <c r="H121" s="18">
        <v>129</v>
      </c>
      <c r="I121" s="15">
        <f t="shared" si="3"/>
        <v>54</v>
      </c>
    </row>
    <row r="122" spans="1:9" x14ac:dyDescent="0.25">
      <c r="A122" s="15">
        <v>105</v>
      </c>
      <c r="B122" s="15">
        <v>75</v>
      </c>
      <c r="C122" s="15">
        <v>0.5</v>
      </c>
      <c r="D122" s="15">
        <v>1</v>
      </c>
      <c r="E122" s="15">
        <v>12.5</v>
      </c>
      <c r="F122" s="15" t="s">
        <v>52</v>
      </c>
      <c r="G122" s="15">
        <f t="shared" si="2"/>
        <v>0</v>
      </c>
      <c r="H122" s="18">
        <v>142</v>
      </c>
      <c r="I122" s="15">
        <f t="shared" si="3"/>
        <v>67</v>
      </c>
    </row>
    <row r="123" spans="1:9" x14ac:dyDescent="0.25">
      <c r="A123" s="15">
        <v>106</v>
      </c>
      <c r="B123" s="15">
        <v>75</v>
      </c>
      <c r="C123" s="15">
        <v>0.5</v>
      </c>
      <c r="D123" s="15">
        <v>1</v>
      </c>
      <c r="E123" s="15">
        <v>12.5</v>
      </c>
      <c r="F123" s="15" t="s">
        <v>51</v>
      </c>
      <c r="G123" s="15">
        <f t="shared" si="2"/>
        <v>1</v>
      </c>
      <c r="H123" s="18">
        <v>132</v>
      </c>
      <c r="I123" s="15">
        <f t="shared" si="3"/>
        <v>57</v>
      </c>
    </row>
    <row r="124" spans="1:9" x14ac:dyDescent="0.25">
      <c r="A124" s="15">
        <v>107</v>
      </c>
      <c r="B124" s="15">
        <v>75</v>
      </c>
      <c r="C124" s="15">
        <v>0.5</v>
      </c>
      <c r="D124" s="15">
        <v>1</v>
      </c>
      <c r="E124" s="15">
        <v>12.5</v>
      </c>
      <c r="F124" s="15" t="s">
        <v>52</v>
      </c>
      <c r="G124" s="15">
        <f t="shared" si="2"/>
        <v>0</v>
      </c>
      <c r="H124" s="18">
        <v>158</v>
      </c>
      <c r="I124" s="15">
        <f t="shared" si="3"/>
        <v>83</v>
      </c>
    </row>
    <row r="125" spans="1:9" x14ac:dyDescent="0.25">
      <c r="A125" s="15">
        <v>108</v>
      </c>
      <c r="B125" s="15">
        <v>75</v>
      </c>
      <c r="C125" s="15">
        <v>0.5</v>
      </c>
      <c r="D125" s="15">
        <v>1</v>
      </c>
      <c r="E125" s="15">
        <v>12.5</v>
      </c>
      <c r="F125" s="15" t="s">
        <v>51</v>
      </c>
      <c r="G125" s="15">
        <f t="shared" si="2"/>
        <v>1</v>
      </c>
      <c r="H125" s="18">
        <v>141</v>
      </c>
      <c r="I125" s="15">
        <f t="shared" si="3"/>
        <v>66</v>
      </c>
    </row>
    <row r="126" spans="1:9" x14ac:dyDescent="0.25">
      <c r="A126" s="15">
        <v>109</v>
      </c>
      <c r="B126" s="15">
        <v>75</v>
      </c>
      <c r="C126" s="15">
        <v>0.5</v>
      </c>
      <c r="D126" s="15">
        <v>1</v>
      </c>
      <c r="E126" s="15">
        <v>12.5</v>
      </c>
      <c r="F126" s="15" t="s">
        <v>52</v>
      </c>
      <c r="G126" s="15">
        <f t="shared" si="2"/>
        <v>0</v>
      </c>
      <c r="H126" s="18">
        <v>140</v>
      </c>
      <c r="I126" s="15">
        <f t="shared" si="3"/>
        <v>65</v>
      </c>
    </row>
    <row r="127" spans="1:9" x14ac:dyDescent="0.25">
      <c r="A127" s="15">
        <v>110</v>
      </c>
      <c r="B127" s="15">
        <v>75</v>
      </c>
      <c r="C127" s="15">
        <v>0.5</v>
      </c>
      <c r="D127" s="15">
        <v>1</v>
      </c>
      <c r="E127" s="15">
        <v>12.5</v>
      </c>
      <c r="F127" s="15" t="s">
        <v>51</v>
      </c>
      <c r="G127" s="15">
        <f t="shared" si="2"/>
        <v>1</v>
      </c>
      <c r="H127" s="18">
        <v>145</v>
      </c>
      <c r="I127" s="15">
        <f t="shared" si="3"/>
        <v>70</v>
      </c>
    </row>
    <row r="128" spans="1:9" x14ac:dyDescent="0.25">
      <c r="A128" s="15">
        <v>111</v>
      </c>
      <c r="B128" s="15">
        <v>75</v>
      </c>
      <c r="C128" s="15">
        <v>0.5</v>
      </c>
      <c r="D128" s="15">
        <v>1</v>
      </c>
      <c r="E128" s="15">
        <v>12.5</v>
      </c>
      <c r="F128" s="15" t="s">
        <v>52</v>
      </c>
      <c r="G128" s="15">
        <f t="shared" si="2"/>
        <v>0</v>
      </c>
      <c r="H128" s="18">
        <v>162</v>
      </c>
      <c r="I128" s="15">
        <f t="shared" si="3"/>
        <v>87</v>
      </c>
    </row>
    <row r="129" spans="1:9" x14ac:dyDescent="0.25">
      <c r="A129" s="15">
        <v>112</v>
      </c>
      <c r="B129" s="15">
        <v>75</v>
      </c>
      <c r="C129" s="15">
        <v>0.5</v>
      </c>
      <c r="D129" s="15">
        <v>1</v>
      </c>
      <c r="E129" s="15">
        <v>12.5</v>
      </c>
      <c r="F129" s="15" t="s">
        <v>52</v>
      </c>
      <c r="G129" s="15">
        <f t="shared" si="2"/>
        <v>0</v>
      </c>
      <c r="H129" s="18">
        <v>151</v>
      </c>
      <c r="I129" s="15">
        <f t="shared" si="3"/>
        <v>76</v>
      </c>
    </row>
    <row r="130" spans="1:9" x14ac:dyDescent="0.25">
      <c r="A130" s="15">
        <v>113</v>
      </c>
      <c r="B130" s="15">
        <v>75</v>
      </c>
      <c r="C130" s="15">
        <v>0.5</v>
      </c>
      <c r="D130" s="15">
        <v>1</v>
      </c>
      <c r="E130" s="15">
        <v>12.5</v>
      </c>
      <c r="F130" s="15" t="s">
        <v>51</v>
      </c>
      <c r="G130" s="15">
        <f t="shared" si="2"/>
        <v>1</v>
      </c>
      <c r="H130" s="18">
        <v>136</v>
      </c>
      <c r="I130" s="15">
        <f t="shared" si="3"/>
        <v>61</v>
      </c>
    </row>
    <row r="131" spans="1:9" x14ac:dyDescent="0.25">
      <c r="A131" s="15">
        <v>114</v>
      </c>
      <c r="B131" s="15">
        <v>75</v>
      </c>
      <c r="C131" s="15">
        <v>0.5</v>
      </c>
      <c r="D131" s="15">
        <v>1</v>
      </c>
      <c r="E131" s="15">
        <v>12.5</v>
      </c>
      <c r="F131" s="15" t="s">
        <v>52</v>
      </c>
      <c r="G131" s="15">
        <f t="shared" si="2"/>
        <v>0</v>
      </c>
      <c r="H131" s="18">
        <v>143</v>
      </c>
      <c r="I131" s="15">
        <f t="shared" si="3"/>
        <v>68</v>
      </c>
    </row>
    <row r="132" spans="1:9" x14ac:dyDescent="0.25">
      <c r="A132" s="15">
        <v>115</v>
      </c>
      <c r="B132" s="15">
        <v>75</v>
      </c>
      <c r="C132" s="15">
        <v>0.5</v>
      </c>
      <c r="D132" s="15">
        <v>1</v>
      </c>
      <c r="E132" s="15">
        <v>12.5</v>
      </c>
      <c r="F132" s="15" t="s">
        <v>51</v>
      </c>
      <c r="G132" s="15">
        <f t="shared" si="2"/>
        <v>1</v>
      </c>
      <c r="H132" s="18">
        <v>143</v>
      </c>
      <c r="I132" s="15">
        <f t="shared" si="3"/>
        <v>68</v>
      </c>
    </row>
    <row r="133" spans="1:9" x14ac:dyDescent="0.25">
      <c r="A133" s="15">
        <v>116</v>
      </c>
      <c r="B133" s="15">
        <v>75</v>
      </c>
      <c r="C133" s="15">
        <v>0.5</v>
      </c>
      <c r="D133" s="15">
        <v>1</v>
      </c>
      <c r="E133" s="15">
        <v>12.5</v>
      </c>
      <c r="F133" s="15" t="s">
        <v>52</v>
      </c>
      <c r="G133" s="15">
        <f t="shared" si="2"/>
        <v>0</v>
      </c>
      <c r="H133" s="18">
        <v>129</v>
      </c>
      <c r="I133" s="15">
        <f t="shared" si="3"/>
        <v>54</v>
      </c>
    </row>
    <row r="134" spans="1:9" x14ac:dyDescent="0.25">
      <c r="A134" s="15">
        <v>117</v>
      </c>
      <c r="B134" s="15">
        <v>75</v>
      </c>
      <c r="C134" s="15">
        <v>0.5</v>
      </c>
      <c r="D134" s="15">
        <v>1</v>
      </c>
      <c r="E134" s="15">
        <v>12.5</v>
      </c>
      <c r="F134" s="15" t="s">
        <v>51</v>
      </c>
      <c r="G134" s="15">
        <f t="shared" si="2"/>
        <v>1</v>
      </c>
      <c r="H134" s="18">
        <v>140</v>
      </c>
      <c r="I134" s="15">
        <f t="shared" si="3"/>
        <v>65</v>
      </c>
    </row>
    <row r="135" spans="1:9" x14ac:dyDescent="0.25">
      <c r="A135" s="15">
        <v>118</v>
      </c>
      <c r="B135" s="15">
        <v>75</v>
      </c>
      <c r="C135" s="15">
        <v>0.5</v>
      </c>
      <c r="D135" s="15">
        <v>1</v>
      </c>
      <c r="E135" s="15">
        <v>12.6</v>
      </c>
      <c r="F135" s="15" t="s">
        <v>52</v>
      </c>
      <c r="G135" s="15">
        <f t="shared" si="2"/>
        <v>0</v>
      </c>
      <c r="H135" s="18">
        <v>155</v>
      </c>
      <c r="I135" s="15">
        <f t="shared" si="3"/>
        <v>80</v>
      </c>
    </row>
    <row r="136" spans="1:9" x14ac:dyDescent="0.25">
      <c r="A136" s="15">
        <v>119</v>
      </c>
      <c r="B136" s="15">
        <v>75</v>
      </c>
      <c r="C136" s="15">
        <v>0.5</v>
      </c>
      <c r="D136" s="15">
        <v>1</v>
      </c>
      <c r="E136" s="15">
        <v>12.5</v>
      </c>
      <c r="F136" s="15" t="s">
        <v>51</v>
      </c>
      <c r="G136" s="15">
        <f t="shared" si="2"/>
        <v>1</v>
      </c>
      <c r="H136" s="18">
        <v>144</v>
      </c>
      <c r="I136" s="15">
        <f t="shared" si="3"/>
        <v>69</v>
      </c>
    </row>
    <row r="137" spans="1:9" x14ac:dyDescent="0.25">
      <c r="A137" s="15">
        <v>120</v>
      </c>
      <c r="B137" s="15">
        <v>75</v>
      </c>
      <c r="C137" s="15">
        <v>0.5</v>
      </c>
      <c r="D137" s="15">
        <v>1</v>
      </c>
      <c r="E137" s="15">
        <v>12.5</v>
      </c>
      <c r="F137" s="15" t="s">
        <v>52</v>
      </c>
      <c r="G137" s="15">
        <f t="shared" si="2"/>
        <v>0</v>
      </c>
      <c r="H137" s="18">
        <v>146</v>
      </c>
      <c r="I137" s="15">
        <f t="shared" si="3"/>
        <v>71</v>
      </c>
    </row>
    <row r="138" spans="1:9" x14ac:dyDescent="0.25">
      <c r="A138" s="15">
        <v>121</v>
      </c>
      <c r="B138" s="15">
        <v>75</v>
      </c>
      <c r="C138" s="15">
        <v>0.5</v>
      </c>
      <c r="D138" s="15">
        <v>1</v>
      </c>
      <c r="E138" s="15">
        <v>12.5</v>
      </c>
      <c r="F138" s="15" t="s">
        <v>51</v>
      </c>
      <c r="G138" s="15">
        <f t="shared" si="2"/>
        <v>1</v>
      </c>
      <c r="H138" s="18">
        <v>134</v>
      </c>
      <c r="I138" s="15">
        <f t="shared" si="3"/>
        <v>59</v>
      </c>
    </row>
    <row r="139" spans="1:9" x14ac:dyDescent="0.25">
      <c r="A139" s="15">
        <v>122</v>
      </c>
      <c r="B139" s="15">
        <v>75</v>
      </c>
      <c r="C139" s="15">
        <v>0.5</v>
      </c>
      <c r="D139" s="15">
        <v>1</v>
      </c>
      <c r="E139" s="15">
        <v>12.5</v>
      </c>
      <c r="F139" s="15" t="s">
        <v>52</v>
      </c>
      <c r="G139" s="15">
        <f t="shared" si="2"/>
        <v>0</v>
      </c>
      <c r="H139" s="18">
        <v>155</v>
      </c>
      <c r="I139" s="15">
        <f t="shared" si="3"/>
        <v>80</v>
      </c>
    </row>
    <row r="140" spans="1:9" x14ac:dyDescent="0.25">
      <c r="A140" s="15">
        <v>123</v>
      </c>
      <c r="B140" s="15">
        <v>75</v>
      </c>
      <c r="C140" s="15">
        <v>0.5</v>
      </c>
      <c r="D140" s="15">
        <v>1</v>
      </c>
      <c r="E140" s="15">
        <v>12.5</v>
      </c>
      <c r="F140" s="15" t="s">
        <v>51</v>
      </c>
      <c r="G140" s="15">
        <f t="shared" si="2"/>
        <v>1</v>
      </c>
      <c r="H140" s="18">
        <v>141</v>
      </c>
      <c r="I140" s="15">
        <f t="shared" si="3"/>
        <v>66</v>
      </c>
    </row>
    <row r="141" spans="1:9" x14ac:dyDescent="0.25">
      <c r="A141" s="15">
        <v>124</v>
      </c>
      <c r="B141" s="15">
        <v>75</v>
      </c>
      <c r="C141" s="15">
        <v>0.5</v>
      </c>
      <c r="D141" s="15">
        <v>1</v>
      </c>
      <c r="E141" s="15">
        <v>12.5</v>
      </c>
      <c r="F141" s="15" t="s">
        <v>52</v>
      </c>
      <c r="G141" s="15">
        <f t="shared" si="2"/>
        <v>0</v>
      </c>
      <c r="H141" s="18">
        <v>149</v>
      </c>
      <c r="I141" s="15">
        <f t="shared" si="3"/>
        <v>74</v>
      </c>
    </row>
    <row r="142" spans="1:9" x14ac:dyDescent="0.25">
      <c r="A142" s="15">
        <v>125</v>
      </c>
      <c r="B142" s="15">
        <v>75</v>
      </c>
      <c r="C142" s="15">
        <v>0.5</v>
      </c>
      <c r="D142" s="15">
        <v>1</v>
      </c>
      <c r="E142" s="15">
        <v>12.5</v>
      </c>
      <c r="F142" s="15" t="s">
        <v>52</v>
      </c>
      <c r="G142" s="15">
        <f t="shared" si="2"/>
        <v>0</v>
      </c>
      <c r="H142" s="18">
        <v>159</v>
      </c>
      <c r="I142" s="15">
        <f t="shared" si="3"/>
        <v>84</v>
      </c>
    </row>
    <row r="143" spans="1:9" x14ac:dyDescent="0.25">
      <c r="A143" s="15">
        <v>126</v>
      </c>
      <c r="B143" s="15">
        <v>75</v>
      </c>
      <c r="C143" s="15">
        <v>0.5</v>
      </c>
      <c r="D143" s="15">
        <v>1</v>
      </c>
      <c r="E143" s="15">
        <v>12.5</v>
      </c>
      <c r="F143" s="15" t="s">
        <v>51</v>
      </c>
      <c r="G143" s="15">
        <f t="shared" si="2"/>
        <v>1</v>
      </c>
      <c r="H143" s="18">
        <v>140</v>
      </c>
      <c r="I143" s="15">
        <f t="shared" si="3"/>
        <v>65</v>
      </c>
    </row>
    <row r="144" spans="1:9" x14ac:dyDescent="0.25">
      <c r="A144" s="15">
        <v>127</v>
      </c>
      <c r="B144" s="15">
        <v>75</v>
      </c>
      <c r="C144" s="15">
        <v>0.5</v>
      </c>
      <c r="D144" s="15">
        <v>1</v>
      </c>
      <c r="E144" s="15">
        <v>12.5</v>
      </c>
      <c r="F144" s="15" t="s">
        <v>52</v>
      </c>
      <c r="G144" s="15">
        <f t="shared" si="2"/>
        <v>0</v>
      </c>
      <c r="H144" s="18">
        <v>149</v>
      </c>
      <c r="I144" s="15">
        <f t="shared" si="3"/>
        <v>74</v>
      </c>
    </row>
    <row r="145" spans="1:9" x14ac:dyDescent="0.25">
      <c r="A145" s="15">
        <v>128</v>
      </c>
      <c r="B145" s="15">
        <v>75</v>
      </c>
      <c r="C145" s="15">
        <v>0.5</v>
      </c>
      <c r="D145" s="15">
        <v>1</v>
      </c>
      <c r="E145" s="15">
        <v>12.5</v>
      </c>
      <c r="F145" s="15" t="s">
        <v>51</v>
      </c>
      <c r="G145" s="15">
        <f t="shared" si="2"/>
        <v>1</v>
      </c>
      <c r="H145" s="18">
        <v>141</v>
      </c>
      <c r="I145" s="15">
        <f t="shared" si="3"/>
        <v>66</v>
      </c>
    </row>
    <row r="146" spans="1:9" x14ac:dyDescent="0.25">
      <c r="A146" s="15">
        <v>129</v>
      </c>
      <c r="B146" s="15">
        <v>75</v>
      </c>
      <c r="C146" s="15">
        <v>0.5</v>
      </c>
      <c r="D146" s="15">
        <v>1</v>
      </c>
      <c r="E146" s="15">
        <v>12.5</v>
      </c>
      <c r="F146" s="15" t="s">
        <v>52</v>
      </c>
      <c r="G146" s="15">
        <f t="shared" ref="G146:G209" si="4">IF(F146="center", 1, 0)</f>
        <v>0</v>
      </c>
      <c r="H146" s="18">
        <v>137</v>
      </c>
      <c r="I146" s="15">
        <f t="shared" ref="I146:I209" si="5">H146-B146</f>
        <v>62</v>
      </c>
    </row>
    <row r="147" spans="1:9" x14ac:dyDescent="0.25">
      <c r="A147" s="15">
        <v>130</v>
      </c>
      <c r="B147" s="15">
        <v>75</v>
      </c>
      <c r="C147" s="15">
        <v>0.5</v>
      </c>
      <c r="D147" s="15">
        <v>1</v>
      </c>
      <c r="E147" s="15">
        <v>12.5</v>
      </c>
      <c r="F147" s="15" t="s">
        <v>51</v>
      </c>
      <c r="G147" s="15">
        <f t="shared" si="4"/>
        <v>1</v>
      </c>
      <c r="H147" s="18">
        <v>150</v>
      </c>
      <c r="I147" s="15">
        <f t="shared" si="5"/>
        <v>75</v>
      </c>
    </row>
    <row r="148" spans="1:9" x14ac:dyDescent="0.25">
      <c r="A148" s="15">
        <v>131</v>
      </c>
      <c r="B148" s="15">
        <v>75</v>
      </c>
      <c r="C148" s="15">
        <v>0.5</v>
      </c>
      <c r="D148" s="15">
        <v>1</v>
      </c>
      <c r="E148" s="15">
        <v>12.5</v>
      </c>
      <c r="F148" s="15" t="s">
        <v>52</v>
      </c>
      <c r="G148" s="15">
        <f t="shared" si="4"/>
        <v>0</v>
      </c>
      <c r="H148" s="18">
        <v>143</v>
      </c>
      <c r="I148" s="15">
        <f t="shared" si="5"/>
        <v>68</v>
      </c>
    </row>
    <row r="149" spans="1:9" x14ac:dyDescent="0.25">
      <c r="A149" s="15">
        <v>132</v>
      </c>
      <c r="B149" s="15">
        <v>75</v>
      </c>
      <c r="C149" s="15">
        <v>0.5</v>
      </c>
      <c r="D149" s="15">
        <v>1</v>
      </c>
      <c r="E149" s="15">
        <v>12.4</v>
      </c>
      <c r="F149" s="15" t="s">
        <v>51</v>
      </c>
      <c r="G149" s="15">
        <f t="shared" si="4"/>
        <v>1</v>
      </c>
      <c r="H149" s="18">
        <v>126</v>
      </c>
      <c r="I149" s="15">
        <f t="shared" si="5"/>
        <v>51</v>
      </c>
    </row>
    <row r="150" spans="1:9" x14ac:dyDescent="0.25">
      <c r="A150" s="15">
        <v>133</v>
      </c>
      <c r="B150" s="15">
        <v>75</v>
      </c>
      <c r="C150" s="15">
        <v>0.5</v>
      </c>
      <c r="D150" s="15">
        <v>1</v>
      </c>
      <c r="E150" s="15">
        <v>12.4</v>
      </c>
      <c r="F150" s="15" t="s">
        <v>52</v>
      </c>
      <c r="G150" s="15">
        <f t="shared" si="4"/>
        <v>0</v>
      </c>
      <c r="H150" s="18">
        <v>147</v>
      </c>
      <c r="I150" s="15">
        <f t="shared" si="5"/>
        <v>72</v>
      </c>
    </row>
    <row r="151" spans="1:9" x14ac:dyDescent="0.25">
      <c r="A151" s="15">
        <v>134</v>
      </c>
      <c r="B151" s="15">
        <v>75</v>
      </c>
      <c r="C151" s="15">
        <v>0.5</v>
      </c>
      <c r="D151" s="15">
        <v>1</v>
      </c>
      <c r="E151" s="15">
        <v>12.4</v>
      </c>
      <c r="F151" s="15" t="s">
        <v>52</v>
      </c>
      <c r="G151" s="15">
        <f t="shared" si="4"/>
        <v>0</v>
      </c>
      <c r="H151" s="18">
        <v>169</v>
      </c>
      <c r="I151" s="15">
        <f t="shared" si="5"/>
        <v>94</v>
      </c>
    </row>
    <row r="152" spans="1:9" x14ac:dyDescent="0.25">
      <c r="A152" s="15">
        <v>135</v>
      </c>
      <c r="B152" s="15">
        <v>75</v>
      </c>
      <c r="C152" s="15">
        <v>0.5</v>
      </c>
      <c r="D152" s="15">
        <v>1</v>
      </c>
      <c r="E152" s="15">
        <v>12.5</v>
      </c>
      <c r="F152" s="15" t="s">
        <v>51</v>
      </c>
      <c r="G152" s="15">
        <f t="shared" si="4"/>
        <v>1</v>
      </c>
      <c r="H152" s="18">
        <v>140</v>
      </c>
      <c r="I152" s="15">
        <f t="shared" si="5"/>
        <v>65</v>
      </c>
    </row>
    <row r="153" spans="1:9" x14ac:dyDescent="0.25">
      <c r="A153" s="15">
        <v>136</v>
      </c>
      <c r="B153" s="15">
        <v>75</v>
      </c>
      <c r="C153" s="15">
        <v>0.5</v>
      </c>
      <c r="D153" s="15">
        <v>1</v>
      </c>
      <c r="E153" s="15">
        <v>12.4</v>
      </c>
      <c r="F153" s="15" t="s">
        <v>52</v>
      </c>
      <c r="G153" s="15">
        <f t="shared" si="4"/>
        <v>0</v>
      </c>
      <c r="H153" s="18">
        <v>167</v>
      </c>
      <c r="I153" s="15">
        <f t="shared" si="5"/>
        <v>92</v>
      </c>
    </row>
    <row r="154" spans="1:9" x14ac:dyDescent="0.25">
      <c r="A154" s="15">
        <v>137</v>
      </c>
      <c r="B154" s="15">
        <v>75</v>
      </c>
      <c r="C154" s="15">
        <v>0.5</v>
      </c>
      <c r="D154" s="15">
        <v>1</v>
      </c>
      <c r="E154" s="15">
        <v>12.4</v>
      </c>
      <c r="F154" s="15" t="s">
        <v>51</v>
      </c>
      <c r="G154" s="15">
        <f t="shared" si="4"/>
        <v>1</v>
      </c>
      <c r="H154" s="18">
        <v>148</v>
      </c>
      <c r="I154" s="15">
        <f t="shared" si="5"/>
        <v>73</v>
      </c>
    </row>
    <row r="155" spans="1:9" x14ac:dyDescent="0.25">
      <c r="A155" s="15">
        <v>138</v>
      </c>
      <c r="B155" s="15">
        <v>75</v>
      </c>
      <c r="C155" s="15">
        <v>0.5</v>
      </c>
      <c r="D155" s="15">
        <v>1</v>
      </c>
      <c r="E155" s="15">
        <v>12.4</v>
      </c>
      <c r="F155" s="15" t="s">
        <v>52</v>
      </c>
      <c r="G155" s="15">
        <f t="shared" si="4"/>
        <v>0</v>
      </c>
      <c r="H155" s="18">
        <v>151</v>
      </c>
      <c r="I155" s="15">
        <f t="shared" si="5"/>
        <v>76</v>
      </c>
    </row>
    <row r="156" spans="1:9" x14ac:dyDescent="0.25">
      <c r="A156" s="15">
        <v>139</v>
      </c>
      <c r="B156" s="15">
        <v>75</v>
      </c>
      <c r="C156" s="15">
        <v>0.5</v>
      </c>
      <c r="D156" s="15">
        <v>1</v>
      </c>
      <c r="E156" s="15">
        <v>12.4</v>
      </c>
      <c r="F156" s="15" t="s">
        <v>51</v>
      </c>
      <c r="G156" s="15">
        <f t="shared" si="4"/>
        <v>1</v>
      </c>
      <c r="H156" s="18">
        <v>148</v>
      </c>
      <c r="I156" s="15">
        <f t="shared" si="5"/>
        <v>73</v>
      </c>
    </row>
    <row r="157" spans="1:9" x14ac:dyDescent="0.25">
      <c r="A157" s="15">
        <v>140</v>
      </c>
      <c r="B157" s="15">
        <v>75</v>
      </c>
      <c r="C157" s="15">
        <v>0.5</v>
      </c>
      <c r="D157" s="15">
        <v>1</v>
      </c>
      <c r="E157" s="15">
        <v>12.5</v>
      </c>
      <c r="F157" s="15" t="s">
        <v>52</v>
      </c>
      <c r="G157" s="15">
        <f t="shared" si="4"/>
        <v>0</v>
      </c>
      <c r="H157" s="18">
        <v>144</v>
      </c>
      <c r="I157" s="15">
        <f t="shared" si="5"/>
        <v>69</v>
      </c>
    </row>
    <row r="158" spans="1:9" x14ac:dyDescent="0.25">
      <c r="A158" s="15">
        <v>141</v>
      </c>
      <c r="B158" s="15">
        <v>75</v>
      </c>
      <c r="C158" s="15">
        <v>0.5</v>
      </c>
      <c r="D158" s="15">
        <v>1</v>
      </c>
      <c r="E158" s="15">
        <v>12.4</v>
      </c>
      <c r="F158" s="15" t="s">
        <v>51</v>
      </c>
      <c r="G158" s="15">
        <f t="shared" si="4"/>
        <v>1</v>
      </c>
      <c r="H158" s="18">
        <v>137</v>
      </c>
      <c r="I158" s="15">
        <f t="shared" si="5"/>
        <v>62</v>
      </c>
    </row>
    <row r="159" spans="1:9" x14ac:dyDescent="0.25">
      <c r="A159" s="15">
        <v>142</v>
      </c>
      <c r="B159" s="15">
        <v>75</v>
      </c>
      <c r="C159" s="15">
        <v>0.5</v>
      </c>
      <c r="D159" s="15">
        <v>1</v>
      </c>
      <c r="E159" s="15">
        <v>12.5</v>
      </c>
      <c r="F159" s="15" t="s">
        <v>51</v>
      </c>
      <c r="G159" s="15">
        <f t="shared" si="4"/>
        <v>1</v>
      </c>
      <c r="H159" s="18">
        <v>139</v>
      </c>
      <c r="I159" s="15">
        <f t="shared" si="5"/>
        <v>64</v>
      </c>
    </row>
    <row r="160" spans="1:9" x14ac:dyDescent="0.25">
      <c r="A160" s="15">
        <v>143</v>
      </c>
      <c r="B160" s="15">
        <v>75</v>
      </c>
      <c r="C160" s="15">
        <v>0.5</v>
      </c>
      <c r="D160" s="15">
        <v>1</v>
      </c>
      <c r="E160" s="15">
        <v>12.5</v>
      </c>
      <c r="F160" s="15" t="s">
        <v>52</v>
      </c>
      <c r="G160" s="15">
        <f t="shared" si="4"/>
        <v>0</v>
      </c>
      <c r="H160" s="18">
        <v>148</v>
      </c>
      <c r="I160" s="15">
        <f t="shared" si="5"/>
        <v>73</v>
      </c>
    </row>
    <row r="161" spans="1:9" x14ac:dyDescent="0.25">
      <c r="A161" s="15">
        <v>144</v>
      </c>
      <c r="B161" s="15">
        <v>75</v>
      </c>
      <c r="C161" s="15">
        <v>0.5</v>
      </c>
      <c r="D161" s="15">
        <v>1</v>
      </c>
      <c r="E161" s="15">
        <v>12.4</v>
      </c>
      <c r="F161" s="15" t="s">
        <v>51</v>
      </c>
      <c r="G161" s="15">
        <f t="shared" si="4"/>
        <v>1</v>
      </c>
      <c r="H161" s="18">
        <v>134</v>
      </c>
      <c r="I161" s="15">
        <f t="shared" si="5"/>
        <v>59</v>
      </c>
    </row>
    <row r="162" spans="1:9" x14ac:dyDescent="0.25">
      <c r="A162" s="15">
        <v>145</v>
      </c>
      <c r="B162" s="15">
        <v>75</v>
      </c>
      <c r="C162" s="15">
        <v>0.5</v>
      </c>
      <c r="D162" s="15">
        <v>1</v>
      </c>
      <c r="E162" s="15">
        <v>12.4</v>
      </c>
      <c r="F162" s="15" t="s">
        <v>51</v>
      </c>
      <c r="G162" s="15">
        <f t="shared" si="4"/>
        <v>1</v>
      </c>
      <c r="H162" s="18">
        <v>124</v>
      </c>
      <c r="I162" s="15">
        <f t="shared" si="5"/>
        <v>49</v>
      </c>
    </row>
    <row r="163" spans="1:9" x14ac:dyDescent="0.25">
      <c r="A163" s="15">
        <v>146</v>
      </c>
      <c r="B163" s="15">
        <v>75</v>
      </c>
      <c r="C163" s="15">
        <v>0.5</v>
      </c>
      <c r="D163" s="15">
        <v>1</v>
      </c>
      <c r="E163" s="15">
        <v>12.4</v>
      </c>
      <c r="F163" s="15" t="s">
        <v>52</v>
      </c>
      <c r="G163" s="15">
        <f t="shared" si="4"/>
        <v>0</v>
      </c>
      <c r="H163" s="18">
        <v>155</v>
      </c>
      <c r="I163" s="15">
        <f t="shared" si="5"/>
        <v>80</v>
      </c>
    </row>
    <row r="164" spans="1:9" x14ac:dyDescent="0.25">
      <c r="A164" s="15">
        <v>147</v>
      </c>
      <c r="B164" s="15">
        <v>75</v>
      </c>
      <c r="C164" s="15">
        <v>0.5</v>
      </c>
      <c r="D164" s="15">
        <v>1</v>
      </c>
      <c r="E164" s="15">
        <v>12.4</v>
      </c>
      <c r="F164" s="15" t="s">
        <v>51</v>
      </c>
      <c r="G164" s="15">
        <f t="shared" si="4"/>
        <v>1</v>
      </c>
      <c r="H164" s="18">
        <v>143</v>
      </c>
      <c r="I164" s="15">
        <f t="shared" si="5"/>
        <v>68</v>
      </c>
    </row>
    <row r="165" spans="1:9" x14ac:dyDescent="0.25">
      <c r="A165" s="15">
        <v>148</v>
      </c>
      <c r="B165" s="15">
        <v>75</v>
      </c>
      <c r="C165" s="15">
        <v>0.5</v>
      </c>
      <c r="D165" s="15">
        <v>1</v>
      </c>
      <c r="E165" s="15">
        <v>12.4</v>
      </c>
      <c r="F165" s="15" t="s">
        <v>52</v>
      </c>
      <c r="G165" s="15">
        <f t="shared" si="4"/>
        <v>0</v>
      </c>
      <c r="H165" s="18">
        <v>124</v>
      </c>
      <c r="I165" s="15">
        <f t="shared" si="5"/>
        <v>49</v>
      </c>
    </row>
    <row r="166" spans="1:9" x14ac:dyDescent="0.25">
      <c r="A166" s="15">
        <v>149</v>
      </c>
      <c r="B166" s="15">
        <v>75</v>
      </c>
      <c r="C166" s="15">
        <v>0.5</v>
      </c>
      <c r="D166" s="15">
        <v>1</v>
      </c>
      <c r="E166" s="15">
        <v>12.4</v>
      </c>
      <c r="F166" s="15" t="s">
        <v>51</v>
      </c>
      <c r="G166" s="15">
        <f t="shared" si="4"/>
        <v>1</v>
      </c>
      <c r="H166" s="18">
        <v>137</v>
      </c>
      <c r="I166" s="15">
        <f t="shared" si="5"/>
        <v>62</v>
      </c>
    </row>
    <row r="167" spans="1:9" x14ac:dyDescent="0.25">
      <c r="A167" s="15">
        <v>150</v>
      </c>
      <c r="B167" s="15">
        <v>75</v>
      </c>
      <c r="C167" s="15">
        <v>0.5</v>
      </c>
      <c r="D167" s="15">
        <v>1</v>
      </c>
      <c r="E167" s="15">
        <v>12.4</v>
      </c>
      <c r="F167" s="15" t="s">
        <v>52</v>
      </c>
      <c r="G167" s="15">
        <f t="shared" si="4"/>
        <v>0</v>
      </c>
      <c r="H167" s="18">
        <v>176</v>
      </c>
      <c r="I167" s="15">
        <f t="shared" si="5"/>
        <v>101</v>
      </c>
    </row>
    <row r="168" spans="1:9" x14ac:dyDescent="0.25">
      <c r="A168" s="15">
        <v>151</v>
      </c>
      <c r="B168" s="15">
        <v>75</v>
      </c>
      <c r="C168" s="15">
        <v>0.5</v>
      </c>
      <c r="D168" s="15">
        <v>1</v>
      </c>
      <c r="E168" s="15">
        <v>12.5</v>
      </c>
      <c r="F168" s="15" t="s">
        <v>52</v>
      </c>
      <c r="G168" s="15">
        <f t="shared" si="4"/>
        <v>0</v>
      </c>
      <c r="H168" s="18">
        <v>158</v>
      </c>
      <c r="I168" s="15">
        <f t="shared" si="5"/>
        <v>83</v>
      </c>
    </row>
    <row r="169" spans="1:9" x14ac:dyDescent="0.25">
      <c r="A169" s="15">
        <v>152</v>
      </c>
      <c r="B169" s="15">
        <v>75</v>
      </c>
      <c r="C169" s="15">
        <v>0.5</v>
      </c>
      <c r="D169" s="15">
        <v>1</v>
      </c>
      <c r="E169" s="15">
        <v>12.4</v>
      </c>
      <c r="F169" s="15" t="s">
        <v>51</v>
      </c>
      <c r="G169" s="15">
        <f t="shared" si="4"/>
        <v>1</v>
      </c>
      <c r="H169" s="18">
        <v>151</v>
      </c>
      <c r="I169" s="15">
        <f t="shared" si="5"/>
        <v>76</v>
      </c>
    </row>
    <row r="170" spans="1:9" x14ac:dyDescent="0.25">
      <c r="A170" s="15">
        <v>153</v>
      </c>
      <c r="B170" s="15">
        <v>75</v>
      </c>
      <c r="C170" s="15">
        <v>0.5</v>
      </c>
      <c r="D170" s="15">
        <v>1</v>
      </c>
      <c r="E170" s="15">
        <v>12.4</v>
      </c>
      <c r="F170" s="15" t="s">
        <v>51</v>
      </c>
      <c r="G170" s="15">
        <f t="shared" si="4"/>
        <v>1</v>
      </c>
      <c r="H170" s="18">
        <v>144</v>
      </c>
      <c r="I170" s="15">
        <f t="shared" si="5"/>
        <v>69</v>
      </c>
    </row>
    <row r="171" spans="1:9" x14ac:dyDescent="0.25">
      <c r="A171" s="15">
        <v>154</v>
      </c>
      <c r="B171" s="15">
        <v>75</v>
      </c>
      <c r="C171" s="15">
        <v>0.5</v>
      </c>
      <c r="D171" s="15">
        <v>1</v>
      </c>
      <c r="E171" s="15">
        <v>12.4</v>
      </c>
      <c r="F171" s="15" t="s">
        <v>52</v>
      </c>
      <c r="G171" s="15">
        <f t="shared" si="4"/>
        <v>0</v>
      </c>
      <c r="H171" s="18">
        <v>156</v>
      </c>
      <c r="I171" s="15">
        <f t="shared" si="5"/>
        <v>81</v>
      </c>
    </row>
    <row r="172" spans="1:9" x14ac:dyDescent="0.25">
      <c r="A172" s="15">
        <v>155</v>
      </c>
      <c r="B172" s="15">
        <v>75</v>
      </c>
      <c r="C172" s="15">
        <v>0.5</v>
      </c>
      <c r="D172" s="15">
        <v>1</v>
      </c>
      <c r="E172" s="15">
        <v>12.4</v>
      </c>
      <c r="F172" s="15" t="s">
        <v>51</v>
      </c>
      <c r="G172" s="15">
        <f t="shared" si="4"/>
        <v>1</v>
      </c>
      <c r="H172" s="18">
        <v>128</v>
      </c>
      <c r="I172" s="15">
        <f t="shared" si="5"/>
        <v>53</v>
      </c>
    </row>
    <row r="173" spans="1:9" x14ac:dyDescent="0.25">
      <c r="A173" s="15">
        <v>156</v>
      </c>
      <c r="B173" s="15">
        <v>75</v>
      </c>
      <c r="C173" s="15">
        <v>0.5</v>
      </c>
      <c r="D173" s="15">
        <v>1</v>
      </c>
      <c r="E173" s="15">
        <v>12.4</v>
      </c>
      <c r="F173" s="15" t="s">
        <v>52</v>
      </c>
      <c r="G173" s="15">
        <f t="shared" si="4"/>
        <v>0</v>
      </c>
      <c r="H173" s="18">
        <v>146</v>
      </c>
      <c r="I173" s="15">
        <f t="shared" si="5"/>
        <v>71</v>
      </c>
    </row>
    <row r="174" spans="1:9" x14ac:dyDescent="0.25">
      <c r="A174" s="15">
        <v>157</v>
      </c>
      <c r="B174" s="15">
        <v>75</v>
      </c>
      <c r="C174" s="15">
        <v>0.5</v>
      </c>
      <c r="D174" s="15">
        <v>1</v>
      </c>
      <c r="E174" s="15">
        <v>12.4</v>
      </c>
      <c r="F174" s="15" t="s">
        <v>52</v>
      </c>
      <c r="G174" s="15">
        <f t="shared" si="4"/>
        <v>0</v>
      </c>
      <c r="H174" s="18">
        <v>137</v>
      </c>
      <c r="I174" s="15">
        <f t="shared" si="5"/>
        <v>62</v>
      </c>
    </row>
    <row r="175" spans="1:9" x14ac:dyDescent="0.25">
      <c r="A175" s="15">
        <v>158</v>
      </c>
      <c r="B175" s="15">
        <v>75</v>
      </c>
      <c r="C175" s="15">
        <v>0.5</v>
      </c>
      <c r="D175" s="15">
        <v>1</v>
      </c>
      <c r="E175" s="15">
        <v>12.4</v>
      </c>
      <c r="F175" s="15" t="s">
        <v>51</v>
      </c>
      <c r="G175" s="15">
        <f t="shared" si="4"/>
        <v>1</v>
      </c>
      <c r="H175" s="18">
        <v>139</v>
      </c>
      <c r="I175" s="15">
        <f t="shared" si="5"/>
        <v>64</v>
      </c>
    </row>
    <row r="176" spans="1:9" x14ac:dyDescent="0.25">
      <c r="A176" s="15">
        <v>159</v>
      </c>
      <c r="B176" s="15">
        <v>75</v>
      </c>
      <c r="C176" s="15">
        <v>0.5</v>
      </c>
      <c r="D176" s="15">
        <v>1</v>
      </c>
      <c r="E176" s="15">
        <v>12.4</v>
      </c>
      <c r="F176" s="15" t="s">
        <v>52</v>
      </c>
      <c r="G176" s="15">
        <f t="shared" si="4"/>
        <v>0</v>
      </c>
      <c r="H176" s="18">
        <v>159</v>
      </c>
      <c r="I176" s="15">
        <f t="shared" si="5"/>
        <v>84</v>
      </c>
    </row>
    <row r="177" spans="1:9" x14ac:dyDescent="0.25">
      <c r="A177" s="15">
        <v>160</v>
      </c>
      <c r="B177" s="15">
        <v>75</v>
      </c>
      <c r="C177" s="15">
        <v>0.5</v>
      </c>
      <c r="D177" s="15">
        <v>1</v>
      </c>
      <c r="E177" s="15">
        <v>12.4</v>
      </c>
      <c r="F177" s="15" t="s">
        <v>51</v>
      </c>
      <c r="G177" s="15">
        <f t="shared" si="4"/>
        <v>1</v>
      </c>
      <c r="H177" s="18">
        <v>131</v>
      </c>
      <c r="I177" s="15">
        <f t="shared" si="5"/>
        <v>56</v>
      </c>
    </row>
    <row r="178" spans="1:9" x14ac:dyDescent="0.25">
      <c r="A178" s="15">
        <v>161</v>
      </c>
      <c r="B178" s="15">
        <v>75</v>
      </c>
      <c r="C178" s="15">
        <v>0.5</v>
      </c>
      <c r="D178" s="15">
        <v>1</v>
      </c>
      <c r="E178" s="15">
        <v>12.4</v>
      </c>
      <c r="F178" s="15" t="s">
        <v>52</v>
      </c>
      <c r="G178" s="15">
        <f t="shared" si="4"/>
        <v>0</v>
      </c>
      <c r="H178" s="18">
        <v>137</v>
      </c>
      <c r="I178" s="15">
        <f t="shared" si="5"/>
        <v>62</v>
      </c>
    </row>
    <row r="179" spans="1:9" x14ac:dyDescent="0.25">
      <c r="A179" s="15">
        <v>162</v>
      </c>
      <c r="B179" s="15">
        <v>75</v>
      </c>
      <c r="C179" s="15">
        <v>0.5</v>
      </c>
      <c r="D179" s="15">
        <v>1</v>
      </c>
      <c r="E179" s="15">
        <v>12.4</v>
      </c>
      <c r="F179" s="15" t="s">
        <v>51</v>
      </c>
      <c r="G179" s="15">
        <f t="shared" si="4"/>
        <v>1</v>
      </c>
      <c r="H179" s="18">
        <v>139</v>
      </c>
      <c r="I179" s="15">
        <f t="shared" si="5"/>
        <v>64</v>
      </c>
    </row>
    <row r="180" spans="1:9" x14ac:dyDescent="0.25">
      <c r="A180" s="15">
        <v>163</v>
      </c>
      <c r="B180" s="15">
        <v>75</v>
      </c>
      <c r="C180" s="15">
        <v>0.5</v>
      </c>
      <c r="D180" s="15">
        <v>1</v>
      </c>
      <c r="E180" s="15">
        <v>12.4</v>
      </c>
      <c r="F180" s="15" t="s">
        <v>52</v>
      </c>
      <c r="G180" s="15">
        <f t="shared" si="4"/>
        <v>0</v>
      </c>
      <c r="H180" s="18">
        <v>135</v>
      </c>
      <c r="I180" s="15">
        <f t="shared" si="5"/>
        <v>60</v>
      </c>
    </row>
    <row r="181" spans="1:9" x14ac:dyDescent="0.25">
      <c r="A181" s="15">
        <v>164</v>
      </c>
      <c r="B181" s="15">
        <v>75</v>
      </c>
      <c r="C181" s="15">
        <v>0.5</v>
      </c>
      <c r="D181" s="15">
        <v>1</v>
      </c>
      <c r="E181" s="15">
        <v>12.4</v>
      </c>
      <c r="F181" s="15" t="s">
        <v>51</v>
      </c>
      <c r="G181" s="15">
        <f t="shared" si="4"/>
        <v>1</v>
      </c>
      <c r="H181" s="18">
        <v>141</v>
      </c>
      <c r="I181" s="15">
        <f t="shared" si="5"/>
        <v>66</v>
      </c>
    </row>
    <row r="182" spans="1:9" x14ac:dyDescent="0.25">
      <c r="A182" s="15">
        <v>165</v>
      </c>
      <c r="B182" s="15">
        <v>75</v>
      </c>
      <c r="C182" s="15">
        <v>0.5</v>
      </c>
      <c r="D182" s="15">
        <v>1</v>
      </c>
      <c r="E182" s="15">
        <v>12.4</v>
      </c>
      <c r="F182" s="15" t="s">
        <v>52</v>
      </c>
      <c r="G182" s="15">
        <f t="shared" si="4"/>
        <v>0</v>
      </c>
      <c r="H182" s="18">
        <v>149</v>
      </c>
      <c r="I182" s="15">
        <f t="shared" si="5"/>
        <v>74</v>
      </c>
    </row>
    <row r="183" spans="1:9" x14ac:dyDescent="0.25">
      <c r="A183" s="15">
        <v>166</v>
      </c>
      <c r="B183" s="15">
        <v>75</v>
      </c>
      <c r="C183" s="15">
        <v>0.5</v>
      </c>
      <c r="D183" s="15">
        <v>1</v>
      </c>
      <c r="E183" s="15">
        <v>12.4</v>
      </c>
      <c r="F183" s="15" t="s">
        <v>52</v>
      </c>
      <c r="G183" s="15">
        <f t="shared" si="4"/>
        <v>0</v>
      </c>
      <c r="H183" s="18">
        <v>134</v>
      </c>
      <c r="I183" s="15">
        <f t="shared" si="5"/>
        <v>59</v>
      </c>
    </row>
    <row r="184" spans="1:9" x14ac:dyDescent="0.25">
      <c r="A184" s="15">
        <v>167</v>
      </c>
      <c r="B184" s="15">
        <v>75</v>
      </c>
      <c r="C184" s="15">
        <v>0.5</v>
      </c>
      <c r="D184" s="15">
        <v>1</v>
      </c>
      <c r="E184" s="15">
        <v>12.4</v>
      </c>
      <c r="F184" s="15" t="s">
        <v>51</v>
      </c>
      <c r="G184" s="15">
        <f t="shared" si="4"/>
        <v>1</v>
      </c>
      <c r="H184" s="18">
        <v>132</v>
      </c>
      <c r="I184" s="15">
        <f t="shared" si="5"/>
        <v>57</v>
      </c>
    </row>
    <row r="185" spans="1:9" x14ac:dyDescent="0.25">
      <c r="A185" s="15">
        <v>168</v>
      </c>
      <c r="B185" s="15">
        <v>75</v>
      </c>
      <c r="C185" s="15">
        <v>0.5</v>
      </c>
      <c r="D185" s="15">
        <v>1</v>
      </c>
      <c r="E185" s="15">
        <v>12.4</v>
      </c>
      <c r="F185" s="15" t="s">
        <v>52</v>
      </c>
      <c r="G185" s="15">
        <f t="shared" si="4"/>
        <v>0</v>
      </c>
      <c r="H185" s="18">
        <v>161</v>
      </c>
      <c r="I185" s="15">
        <f t="shared" si="5"/>
        <v>86</v>
      </c>
    </row>
    <row r="186" spans="1:9" x14ac:dyDescent="0.25">
      <c r="A186" s="15">
        <v>169</v>
      </c>
      <c r="B186" s="15">
        <v>75</v>
      </c>
      <c r="C186" s="15">
        <v>0.5</v>
      </c>
      <c r="D186" s="15">
        <v>1</v>
      </c>
      <c r="E186" s="15">
        <v>12.4</v>
      </c>
      <c r="F186" s="15" t="s">
        <v>51</v>
      </c>
      <c r="G186" s="15">
        <f t="shared" si="4"/>
        <v>1</v>
      </c>
      <c r="H186" s="18">
        <v>144</v>
      </c>
      <c r="I186" s="15">
        <f t="shared" si="5"/>
        <v>69</v>
      </c>
    </row>
    <row r="187" spans="1:9" x14ac:dyDescent="0.25">
      <c r="A187" s="15">
        <v>170</v>
      </c>
      <c r="B187" s="15">
        <v>75</v>
      </c>
      <c r="C187" s="15">
        <v>0.5</v>
      </c>
      <c r="D187" s="15">
        <v>1</v>
      </c>
      <c r="E187" s="15">
        <v>12.4</v>
      </c>
      <c r="F187" s="15" t="s">
        <v>52</v>
      </c>
      <c r="G187" s="15">
        <f t="shared" si="4"/>
        <v>0</v>
      </c>
      <c r="H187" s="18">
        <v>164</v>
      </c>
      <c r="I187" s="15">
        <f t="shared" si="5"/>
        <v>89</v>
      </c>
    </row>
    <row r="188" spans="1:9" x14ac:dyDescent="0.25">
      <c r="A188" s="15">
        <v>171</v>
      </c>
      <c r="B188" s="15">
        <v>75</v>
      </c>
      <c r="C188" s="15">
        <v>0.5</v>
      </c>
      <c r="D188" s="15">
        <v>1</v>
      </c>
      <c r="E188" s="15">
        <v>12.4</v>
      </c>
      <c r="F188" s="15" t="s">
        <v>51</v>
      </c>
      <c r="G188" s="15">
        <f t="shared" si="4"/>
        <v>1</v>
      </c>
      <c r="H188" s="18">
        <v>143</v>
      </c>
      <c r="I188" s="15">
        <f t="shared" si="5"/>
        <v>68</v>
      </c>
    </row>
    <row r="189" spans="1:9" x14ac:dyDescent="0.25">
      <c r="A189" s="15">
        <v>172</v>
      </c>
      <c r="B189" s="15">
        <v>75</v>
      </c>
      <c r="C189" s="15">
        <v>0.5</v>
      </c>
      <c r="D189" s="15">
        <v>1</v>
      </c>
      <c r="E189" s="15">
        <v>12.4</v>
      </c>
      <c r="F189" s="15" t="s">
        <v>52</v>
      </c>
      <c r="G189" s="15">
        <f t="shared" si="4"/>
        <v>0</v>
      </c>
      <c r="H189" s="18">
        <v>151</v>
      </c>
      <c r="I189" s="15">
        <f t="shared" si="5"/>
        <v>76</v>
      </c>
    </row>
    <row r="190" spans="1:9" x14ac:dyDescent="0.25">
      <c r="A190" s="15">
        <v>173</v>
      </c>
      <c r="B190" s="15">
        <v>75</v>
      </c>
      <c r="C190" s="15">
        <v>0.5</v>
      </c>
      <c r="D190" s="15">
        <v>1</v>
      </c>
      <c r="E190" s="15">
        <v>12.4</v>
      </c>
      <c r="F190" s="15" t="s">
        <v>51</v>
      </c>
      <c r="G190" s="15">
        <f t="shared" si="4"/>
        <v>1</v>
      </c>
      <c r="H190" s="18">
        <v>133</v>
      </c>
      <c r="I190" s="15">
        <f t="shared" si="5"/>
        <v>58</v>
      </c>
    </row>
    <row r="191" spans="1:9" x14ac:dyDescent="0.25">
      <c r="A191" s="15">
        <v>174</v>
      </c>
      <c r="B191" s="15">
        <v>75</v>
      </c>
      <c r="C191" s="15">
        <v>0.5</v>
      </c>
      <c r="D191" s="15">
        <v>1</v>
      </c>
      <c r="E191" s="15">
        <v>12.4</v>
      </c>
      <c r="F191" s="15" t="s">
        <v>52</v>
      </c>
      <c r="G191" s="15">
        <f t="shared" si="4"/>
        <v>0</v>
      </c>
      <c r="H191" s="18">
        <v>151</v>
      </c>
      <c r="I191" s="15">
        <f t="shared" si="5"/>
        <v>76</v>
      </c>
    </row>
    <row r="192" spans="1:9" x14ac:dyDescent="0.25">
      <c r="A192" s="15">
        <v>175</v>
      </c>
      <c r="B192" s="15">
        <v>75</v>
      </c>
      <c r="C192" s="15">
        <v>0.5</v>
      </c>
      <c r="D192" s="15">
        <v>1</v>
      </c>
      <c r="E192" s="15">
        <v>12.3</v>
      </c>
      <c r="F192" s="15" t="s">
        <v>51</v>
      </c>
      <c r="G192" s="15">
        <f t="shared" si="4"/>
        <v>1</v>
      </c>
      <c r="H192" s="18">
        <v>129</v>
      </c>
      <c r="I192" s="15">
        <f t="shared" si="5"/>
        <v>54</v>
      </c>
    </row>
    <row r="193" spans="1:9" x14ac:dyDescent="0.25">
      <c r="A193" s="15">
        <v>176</v>
      </c>
      <c r="B193" s="15">
        <v>75</v>
      </c>
      <c r="C193" s="15">
        <v>0.5</v>
      </c>
      <c r="D193" s="15">
        <v>1</v>
      </c>
      <c r="E193" s="15">
        <v>12.3</v>
      </c>
      <c r="F193" s="15" t="s">
        <v>52</v>
      </c>
      <c r="G193" s="15">
        <f t="shared" si="4"/>
        <v>0</v>
      </c>
      <c r="H193" s="18">
        <v>150</v>
      </c>
      <c r="I193" s="15">
        <f t="shared" si="5"/>
        <v>75</v>
      </c>
    </row>
    <row r="194" spans="1:9" x14ac:dyDescent="0.25">
      <c r="A194" s="15">
        <v>177</v>
      </c>
      <c r="B194" s="15">
        <v>75</v>
      </c>
      <c r="C194" s="15">
        <v>0.5</v>
      </c>
      <c r="D194" s="15">
        <v>1</v>
      </c>
      <c r="E194" s="15">
        <v>12.3</v>
      </c>
      <c r="F194" s="15" t="s">
        <v>51</v>
      </c>
      <c r="G194" s="15">
        <f t="shared" si="4"/>
        <v>1</v>
      </c>
      <c r="H194" s="18">
        <v>139</v>
      </c>
      <c r="I194" s="15">
        <f t="shared" si="5"/>
        <v>64</v>
      </c>
    </row>
    <row r="195" spans="1:9" x14ac:dyDescent="0.25">
      <c r="A195" s="15">
        <v>178</v>
      </c>
      <c r="B195" s="15">
        <v>75</v>
      </c>
      <c r="C195" s="15">
        <v>0.5</v>
      </c>
      <c r="D195" s="15">
        <v>1</v>
      </c>
      <c r="E195" s="15">
        <v>12.3</v>
      </c>
      <c r="F195" s="15" t="s">
        <v>52</v>
      </c>
      <c r="G195" s="15">
        <f t="shared" si="4"/>
        <v>0</v>
      </c>
      <c r="H195" s="18">
        <v>157</v>
      </c>
      <c r="I195" s="15">
        <f t="shared" si="5"/>
        <v>82</v>
      </c>
    </row>
    <row r="196" spans="1:9" x14ac:dyDescent="0.25">
      <c r="A196" s="15">
        <v>179</v>
      </c>
      <c r="B196" s="15">
        <v>75</v>
      </c>
      <c r="C196" s="15">
        <v>0.5</v>
      </c>
      <c r="D196" s="15">
        <v>1</v>
      </c>
      <c r="E196" s="15">
        <v>12.3</v>
      </c>
      <c r="F196" s="15" t="s">
        <v>51</v>
      </c>
      <c r="G196" s="15">
        <f t="shared" si="4"/>
        <v>1</v>
      </c>
      <c r="H196" s="18">
        <v>135</v>
      </c>
      <c r="I196" s="15">
        <f t="shared" si="5"/>
        <v>60</v>
      </c>
    </row>
    <row r="197" spans="1:9" x14ac:dyDescent="0.25">
      <c r="A197" s="15">
        <v>180</v>
      </c>
      <c r="B197" s="15">
        <v>75</v>
      </c>
      <c r="C197" s="15">
        <v>0.5</v>
      </c>
      <c r="D197" s="15">
        <v>1</v>
      </c>
      <c r="E197" s="15">
        <v>12.3</v>
      </c>
      <c r="F197" s="15" t="s">
        <v>52</v>
      </c>
      <c r="G197" s="15">
        <f t="shared" si="4"/>
        <v>0</v>
      </c>
      <c r="H197" s="18">
        <v>133</v>
      </c>
      <c r="I197" s="15">
        <f t="shared" si="5"/>
        <v>58</v>
      </c>
    </row>
    <row r="198" spans="1:9" x14ac:dyDescent="0.25">
      <c r="A198" s="15">
        <v>181</v>
      </c>
      <c r="B198" s="15">
        <v>75</v>
      </c>
      <c r="C198" s="15">
        <v>0.5</v>
      </c>
      <c r="D198" s="15">
        <v>1</v>
      </c>
      <c r="E198" s="15">
        <v>12.3</v>
      </c>
      <c r="F198" s="15" t="s">
        <v>51</v>
      </c>
      <c r="G198" s="15">
        <f t="shared" si="4"/>
        <v>1</v>
      </c>
      <c r="H198" s="18">
        <v>132</v>
      </c>
      <c r="I198" s="15">
        <f t="shared" si="5"/>
        <v>57</v>
      </c>
    </row>
    <row r="199" spans="1:9" x14ac:dyDescent="0.25">
      <c r="A199" s="15">
        <v>182</v>
      </c>
      <c r="B199" s="15">
        <v>75</v>
      </c>
      <c r="C199" s="15">
        <v>0.5</v>
      </c>
      <c r="D199" s="15">
        <v>1</v>
      </c>
      <c r="E199" s="15">
        <v>12.3</v>
      </c>
      <c r="F199" s="15" t="s">
        <v>52</v>
      </c>
      <c r="G199" s="15">
        <f t="shared" si="4"/>
        <v>0</v>
      </c>
      <c r="H199" s="18">
        <v>151</v>
      </c>
      <c r="I199" s="15">
        <f t="shared" si="5"/>
        <v>76</v>
      </c>
    </row>
    <row r="200" spans="1:9" x14ac:dyDescent="0.25">
      <c r="A200" s="15">
        <v>183</v>
      </c>
      <c r="B200" s="15">
        <v>75</v>
      </c>
      <c r="C200" s="15">
        <v>0.5</v>
      </c>
      <c r="D200" s="15">
        <v>1</v>
      </c>
      <c r="E200" s="15">
        <v>12.3</v>
      </c>
      <c r="F200" s="15" t="s">
        <v>51</v>
      </c>
      <c r="G200" s="15">
        <f t="shared" si="4"/>
        <v>1</v>
      </c>
      <c r="H200" s="18">
        <v>114</v>
      </c>
      <c r="I200" s="15">
        <f t="shared" si="5"/>
        <v>39</v>
      </c>
    </row>
    <row r="201" spans="1:9" x14ac:dyDescent="0.25">
      <c r="A201" s="15">
        <v>184</v>
      </c>
      <c r="B201" s="15">
        <v>75</v>
      </c>
      <c r="C201" s="15">
        <v>0.5</v>
      </c>
      <c r="D201" s="15">
        <v>1</v>
      </c>
      <c r="E201" s="15">
        <v>12.3</v>
      </c>
      <c r="F201" s="15" t="s">
        <v>52</v>
      </c>
      <c r="G201" s="15">
        <f t="shared" si="4"/>
        <v>0</v>
      </c>
      <c r="H201" s="18">
        <v>135</v>
      </c>
      <c r="I201" s="15">
        <f t="shared" si="5"/>
        <v>60</v>
      </c>
    </row>
    <row r="202" spans="1:9" x14ac:dyDescent="0.25">
      <c r="A202" s="15">
        <v>185</v>
      </c>
      <c r="B202" s="15">
        <v>75</v>
      </c>
      <c r="C202" s="15">
        <v>0.5</v>
      </c>
      <c r="D202" s="15">
        <v>1</v>
      </c>
      <c r="E202" s="15">
        <v>12.3</v>
      </c>
      <c r="F202" s="15" t="s">
        <v>51</v>
      </c>
      <c r="G202" s="15">
        <f t="shared" si="4"/>
        <v>1</v>
      </c>
      <c r="H202" s="18">
        <v>131</v>
      </c>
      <c r="I202" s="15">
        <f t="shared" si="5"/>
        <v>56</v>
      </c>
    </row>
    <row r="203" spans="1:9" x14ac:dyDescent="0.25">
      <c r="A203" s="15">
        <v>186</v>
      </c>
      <c r="B203" s="15">
        <v>75</v>
      </c>
      <c r="C203" s="15">
        <v>0.5</v>
      </c>
      <c r="D203" s="15">
        <v>1</v>
      </c>
      <c r="E203" s="15">
        <v>12.3</v>
      </c>
      <c r="F203" s="15" t="s">
        <v>52</v>
      </c>
      <c r="G203" s="15">
        <f t="shared" si="4"/>
        <v>0</v>
      </c>
      <c r="H203" s="18">
        <v>160</v>
      </c>
      <c r="I203" s="15">
        <f t="shared" si="5"/>
        <v>85</v>
      </c>
    </row>
    <row r="204" spans="1:9" x14ac:dyDescent="0.25">
      <c r="A204" s="15">
        <v>187</v>
      </c>
      <c r="B204" s="15">
        <v>75</v>
      </c>
      <c r="C204" s="15">
        <v>0.5</v>
      </c>
      <c r="D204" s="15">
        <v>1</v>
      </c>
      <c r="E204" s="15">
        <v>12.3</v>
      </c>
      <c r="F204" s="15" t="s">
        <v>52</v>
      </c>
      <c r="G204" s="15">
        <f t="shared" si="4"/>
        <v>0</v>
      </c>
      <c r="H204" s="18">
        <v>132</v>
      </c>
      <c r="I204" s="15">
        <f t="shared" si="5"/>
        <v>57</v>
      </c>
    </row>
    <row r="205" spans="1:9" x14ac:dyDescent="0.25">
      <c r="A205" s="15">
        <v>188</v>
      </c>
      <c r="B205" s="15">
        <v>75</v>
      </c>
      <c r="C205" s="15">
        <v>0.5</v>
      </c>
      <c r="D205" s="15">
        <v>1</v>
      </c>
      <c r="E205" s="15">
        <v>12.3</v>
      </c>
      <c r="F205" s="15" t="s">
        <v>51</v>
      </c>
      <c r="G205" s="15">
        <f t="shared" si="4"/>
        <v>1</v>
      </c>
      <c r="H205" s="18">
        <v>130</v>
      </c>
      <c r="I205" s="15">
        <f t="shared" si="5"/>
        <v>55</v>
      </c>
    </row>
    <row r="206" spans="1:9" x14ac:dyDescent="0.25">
      <c r="A206" s="15">
        <v>189</v>
      </c>
      <c r="B206" s="15">
        <v>75</v>
      </c>
      <c r="C206" s="15">
        <v>0.5</v>
      </c>
      <c r="D206" s="15">
        <v>1</v>
      </c>
      <c r="E206" s="15">
        <v>12.3</v>
      </c>
      <c r="F206" s="15" t="s">
        <v>52</v>
      </c>
      <c r="G206" s="15">
        <f t="shared" si="4"/>
        <v>0</v>
      </c>
      <c r="H206" s="18">
        <v>146</v>
      </c>
      <c r="I206" s="15">
        <f t="shared" si="5"/>
        <v>71</v>
      </c>
    </row>
    <row r="207" spans="1:9" x14ac:dyDescent="0.25">
      <c r="A207" s="15">
        <v>190</v>
      </c>
      <c r="B207" s="15">
        <v>75</v>
      </c>
      <c r="C207" s="15">
        <v>0.5</v>
      </c>
      <c r="D207" s="15">
        <v>1</v>
      </c>
      <c r="E207" s="15">
        <v>12.3</v>
      </c>
      <c r="F207" s="15" t="s">
        <v>51</v>
      </c>
      <c r="G207" s="15">
        <f t="shared" si="4"/>
        <v>1</v>
      </c>
      <c r="H207" s="18">
        <v>133</v>
      </c>
      <c r="I207" s="15">
        <f t="shared" si="5"/>
        <v>58</v>
      </c>
    </row>
    <row r="208" spans="1:9" x14ac:dyDescent="0.25">
      <c r="A208" s="15">
        <v>191</v>
      </c>
      <c r="B208" s="15">
        <v>75</v>
      </c>
      <c r="C208" s="15">
        <v>0.5</v>
      </c>
      <c r="D208" s="15">
        <v>1</v>
      </c>
      <c r="E208" s="15">
        <v>12.3</v>
      </c>
      <c r="F208" s="15" t="s">
        <v>52</v>
      </c>
      <c r="G208" s="15">
        <f t="shared" si="4"/>
        <v>0</v>
      </c>
      <c r="H208" s="18">
        <v>144</v>
      </c>
      <c r="I208" s="15">
        <f t="shared" si="5"/>
        <v>69</v>
      </c>
    </row>
    <row r="209" spans="1:9" x14ac:dyDescent="0.25">
      <c r="A209" s="15">
        <v>192</v>
      </c>
      <c r="B209" s="15">
        <v>75</v>
      </c>
      <c r="C209" s="15">
        <v>0.5</v>
      </c>
      <c r="D209" s="15">
        <v>1</v>
      </c>
      <c r="E209" s="15">
        <v>12.3</v>
      </c>
      <c r="F209" s="15" t="s">
        <v>51</v>
      </c>
      <c r="G209" s="15">
        <f t="shared" si="4"/>
        <v>1</v>
      </c>
      <c r="H209" s="18">
        <v>135</v>
      </c>
      <c r="I209" s="15">
        <f t="shared" si="5"/>
        <v>60</v>
      </c>
    </row>
    <row r="210" spans="1:9" x14ac:dyDescent="0.25">
      <c r="A210" s="15">
        <v>193</v>
      </c>
      <c r="B210" s="15">
        <v>75</v>
      </c>
      <c r="C210" s="15">
        <v>0.5</v>
      </c>
      <c r="D210" s="15">
        <v>1</v>
      </c>
      <c r="E210" s="15">
        <v>12.3</v>
      </c>
      <c r="F210" s="15" t="s">
        <v>52</v>
      </c>
      <c r="G210" s="15">
        <f t="shared" ref="G210:G273" si="6">IF(F210="center", 1, 0)</f>
        <v>0</v>
      </c>
      <c r="H210" s="18">
        <v>159</v>
      </c>
      <c r="I210" s="15">
        <f t="shared" ref="I210:I273" si="7">H210-B210</f>
        <v>84</v>
      </c>
    </row>
    <row r="211" spans="1:9" x14ac:dyDescent="0.25">
      <c r="A211" s="15">
        <v>194</v>
      </c>
      <c r="B211" s="15">
        <v>75</v>
      </c>
      <c r="C211" s="15">
        <v>0.5</v>
      </c>
      <c r="D211" s="15">
        <v>1</v>
      </c>
      <c r="E211" s="15">
        <v>12.3</v>
      </c>
      <c r="F211" s="15" t="s">
        <v>51</v>
      </c>
      <c r="G211" s="15">
        <f t="shared" si="6"/>
        <v>1</v>
      </c>
      <c r="H211" s="18">
        <v>135</v>
      </c>
      <c r="I211" s="15">
        <f t="shared" si="7"/>
        <v>60</v>
      </c>
    </row>
    <row r="212" spans="1:9" x14ac:dyDescent="0.25">
      <c r="A212" s="15">
        <v>195</v>
      </c>
      <c r="B212" s="15">
        <v>75</v>
      </c>
      <c r="C212" s="15">
        <v>0.5</v>
      </c>
      <c r="D212" s="15">
        <v>1</v>
      </c>
      <c r="E212" s="15">
        <v>12.3</v>
      </c>
      <c r="F212" s="15" t="s">
        <v>52</v>
      </c>
      <c r="G212" s="15">
        <f t="shared" si="6"/>
        <v>0</v>
      </c>
      <c r="H212" s="18">
        <v>153</v>
      </c>
      <c r="I212" s="15">
        <f t="shared" si="7"/>
        <v>78</v>
      </c>
    </row>
    <row r="213" spans="1:9" x14ac:dyDescent="0.25">
      <c r="A213" s="15">
        <v>196</v>
      </c>
      <c r="B213" s="15">
        <v>75</v>
      </c>
      <c r="C213" s="15">
        <v>0.5</v>
      </c>
      <c r="D213" s="15">
        <v>1</v>
      </c>
      <c r="E213" s="15">
        <v>12.3</v>
      </c>
      <c r="F213" s="15" t="s">
        <v>51</v>
      </c>
      <c r="G213" s="15">
        <f t="shared" si="6"/>
        <v>1</v>
      </c>
      <c r="H213" s="18">
        <v>139</v>
      </c>
      <c r="I213" s="15">
        <f t="shared" si="7"/>
        <v>64</v>
      </c>
    </row>
    <row r="214" spans="1:9" x14ac:dyDescent="0.25">
      <c r="A214" s="15">
        <v>197</v>
      </c>
      <c r="B214" s="15">
        <v>75</v>
      </c>
      <c r="C214" s="15">
        <v>0.5</v>
      </c>
      <c r="D214" s="15">
        <v>1</v>
      </c>
      <c r="E214" s="15">
        <v>12.3</v>
      </c>
      <c r="F214" s="15" t="s">
        <v>52</v>
      </c>
      <c r="G214" s="15">
        <f t="shared" si="6"/>
        <v>0</v>
      </c>
      <c r="H214" s="18">
        <v>158</v>
      </c>
      <c r="I214" s="15">
        <f t="shared" si="7"/>
        <v>83</v>
      </c>
    </row>
    <row r="215" spans="1:9" x14ac:dyDescent="0.25">
      <c r="A215" s="15">
        <v>198</v>
      </c>
      <c r="B215" s="15">
        <v>75</v>
      </c>
      <c r="C215" s="15">
        <v>0.5</v>
      </c>
      <c r="D215" s="15">
        <v>1</v>
      </c>
      <c r="E215" s="15">
        <v>12.3</v>
      </c>
      <c r="F215" s="15" t="s">
        <v>51</v>
      </c>
      <c r="G215" s="15">
        <f t="shared" si="6"/>
        <v>1</v>
      </c>
      <c r="H215" s="18">
        <v>136</v>
      </c>
      <c r="I215" s="15">
        <f t="shared" si="7"/>
        <v>61</v>
      </c>
    </row>
    <row r="216" spans="1:9" x14ac:dyDescent="0.25">
      <c r="A216" s="15">
        <v>199</v>
      </c>
      <c r="B216" s="15">
        <v>75</v>
      </c>
      <c r="C216" s="15">
        <v>0.5</v>
      </c>
      <c r="D216" s="15">
        <v>1</v>
      </c>
      <c r="E216" s="15">
        <v>12.3</v>
      </c>
      <c r="F216" s="15" t="s">
        <v>52</v>
      </c>
      <c r="G216" s="15">
        <f t="shared" si="6"/>
        <v>0</v>
      </c>
      <c r="H216" s="18">
        <v>123</v>
      </c>
      <c r="I216" s="15">
        <f t="shared" si="7"/>
        <v>48</v>
      </c>
    </row>
    <row r="217" spans="1:9" x14ac:dyDescent="0.25">
      <c r="A217" s="15">
        <v>200</v>
      </c>
      <c r="B217" s="15">
        <v>75</v>
      </c>
      <c r="C217" s="15">
        <v>0.5</v>
      </c>
      <c r="D217" s="15">
        <v>1</v>
      </c>
      <c r="E217" s="15">
        <v>12.3</v>
      </c>
      <c r="F217" s="15" t="s">
        <v>51</v>
      </c>
      <c r="G217" s="15">
        <f t="shared" si="6"/>
        <v>1</v>
      </c>
      <c r="H217" s="18">
        <v>139</v>
      </c>
      <c r="I217" s="15">
        <f t="shared" si="7"/>
        <v>64</v>
      </c>
    </row>
    <row r="218" spans="1:9" x14ac:dyDescent="0.25">
      <c r="A218" s="15">
        <v>201</v>
      </c>
      <c r="B218" s="15">
        <v>75</v>
      </c>
      <c r="C218" s="15">
        <v>0.5</v>
      </c>
      <c r="D218" s="15">
        <v>1</v>
      </c>
      <c r="E218" s="15">
        <v>12.4</v>
      </c>
      <c r="F218" s="15" t="s">
        <v>52</v>
      </c>
      <c r="G218" s="15">
        <f t="shared" si="6"/>
        <v>0</v>
      </c>
      <c r="H218" s="18">
        <v>143</v>
      </c>
      <c r="I218" s="15">
        <f t="shared" si="7"/>
        <v>68</v>
      </c>
    </row>
    <row r="219" spans="1:9" x14ac:dyDescent="0.25">
      <c r="A219" s="15">
        <v>202</v>
      </c>
      <c r="B219" s="15">
        <v>75</v>
      </c>
      <c r="C219" s="15">
        <v>0.5</v>
      </c>
      <c r="D219" s="15">
        <v>1</v>
      </c>
      <c r="E219" s="15">
        <v>12.3</v>
      </c>
      <c r="F219" s="15" t="s">
        <v>51</v>
      </c>
      <c r="G219" s="15">
        <f t="shared" si="6"/>
        <v>1</v>
      </c>
      <c r="H219" s="18">
        <v>125</v>
      </c>
      <c r="I219" s="15">
        <f t="shared" si="7"/>
        <v>50</v>
      </c>
    </row>
    <row r="220" spans="1:9" x14ac:dyDescent="0.25">
      <c r="A220" s="15">
        <v>203</v>
      </c>
      <c r="B220" s="15">
        <v>75</v>
      </c>
      <c r="C220" s="15">
        <v>0.5</v>
      </c>
      <c r="D220" s="15">
        <v>1</v>
      </c>
      <c r="E220" s="15">
        <v>12.3</v>
      </c>
      <c r="F220" s="15" t="s">
        <v>52</v>
      </c>
      <c r="G220" s="15">
        <f t="shared" si="6"/>
        <v>0</v>
      </c>
      <c r="H220" s="18">
        <v>144</v>
      </c>
      <c r="I220" s="15">
        <f t="shared" si="7"/>
        <v>69</v>
      </c>
    </row>
    <row r="221" spans="1:9" x14ac:dyDescent="0.25">
      <c r="A221" s="15">
        <v>204</v>
      </c>
      <c r="B221" s="15">
        <v>75</v>
      </c>
      <c r="C221" s="15">
        <v>0.5</v>
      </c>
      <c r="D221" s="15">
        <v>1</v>
      </c>
      <c r="E221" s="15">
        <v>12.3</v>
      </c>
      <c r="F221" s="15" t="s">
        <v>51</v>
      </c>
      <c r="G221" s="15">
        <f t="shared" si="6"/>
        <v>1</v>
      </c>
      <c r="H221" s="18">
        <v>138</v>
      </c>
      <c r="I221" s="15">
        <f t="shared" si="7"/>
        <v>63</v>
      </c>
    </row>
    <row r="222" spans="1:9" x14ac:dyDescent="0.25">
      <c r="A222" s="15">
        <v>205</v>
      </c>
      <c r="B222" s="15">
        <v>75</v>
      </c>
      <c r="C222" s="15">
        <v>0.5</v>
      </c>
      <c r="D222" s="15">
        <v>1</v>
      </c>
      <c r="E222" s="15">
        <v>12.3</v>
      </c>
      <c r="F222" s="15" t="s">
        <v>52</v>
      </c>
      <c r="G222" s="15">
        <f t="shared" si="6"/>
        <v>0</v>
      </c>
      <c r="H222" s="18">
        <v>143</v>
      </c>
      <c r="I222" s="15">
        <f t="shared" si="7"/>
        <v>68</v>
      </c>
    </row>
    <row r="223" spans="1:9" x14ac:dyDescent="0.25">
      <c r="A223" s="15">
        <v>206</v>
      </c>
      <c r="B223" s="15">
        <v>75</v>
      </c>
      <c r="C223" s="15">
        <v>0.5</v>
      </c>
      <c r="D223" s="15">
        <v>1</v>
      </c>
      <c r="E223" s="15">
        <v>12.3</v>
      </c>
      <c r="F223" s="15" t="s">
        <v>51</v>
      </c>
      <c r="G223" s="15">
        <f t="shared" si="6"/>
        <v>1</v>
      </c>
      <c r="H223" s="18">
        <v>141</v>
      </c>
      <c r="I223" s="15">
        <f t="shared" si="7"/>
        <v>66</v>
      </c>
    </row>
    <row r="224" spans="1:9" x14ac:dyDescent="0.25">
      <c r="A224" s="15">
        <v>207</v>
      </c>
      <c r="B224" s="15">
        <v>75</v>
      </c>
      <c r="C224" s="15">
        <v>0.5</v>
      </c>
      <c r="D224" s="15">
        <v>1</v>
      </c>
      <c r="E224" s="15">
        <v>12.3</v>
      </c>
      <c r="F224" s="15" t="s">
        <v>52</v>
      </c>
      <c r="G224" s="15">
        <f t="shared" si="6"/>
        <v>0</v>
      </c>
      <c r="H224" s="18">
        <v>153</v>
      </c>
      <c r="I224" s="15">
        <f t="shared" si="7"/>
        <v>78</v>
      </c>
    </row>
    <row r="225" spans="1:9" x14ac:dyDescent="0.25">
      <c r="A225" s="15">
        <v>208</v>
      </c>
      <c r="B225" s="15">
        <v>75</v>
      </c>
      <c r="C225" s="15">
        <v>0.5</v>
      </c>
      <c r="D225" s="15">
        <v>1</v>
      </c>
      <c r="E225" s="15">
        <v>12.3</v>
      </c>
      <c r="F225" s="15" t="s">
        <v>51</v>
      </c>
      <c r="G225" s="15">
        <f t="shared" si="6"/>
        <v>1</v>
      </c>
      <c r="H225" s="18">
        <v>144</v>
      </c>
      <c r="I225" s="15">
        <f t="shared" si="7"/>
        <v>69</v>
      </c>
    </row>
    <row r="226" spans="1:9" x14ac:dyDescent="0.25">
      <c r="A226" s="15">
        <v>209</v>
      </c>
      <c r="B226" s="15">
        <v>75</v>
      </c>
      <c r="C226" s="15">
        <v>0.5</v>
      </c>
      <c r="D226" s="15">
        <v>1</v>
      </c>
      <c r="E226" s="15">
        <v>12.3</v>
      </c>
      <c r="F226" s="15" t="s">
        <v>52</v>
      </c>
      <c r="G226" s="15">
        <f t="shared" si="6"/>
        <v>0</v>
      </c>
      <c r="H226" s="18">
        <v>140</v>
      </c>
      <c r="I226" s="15">
        <f t="shared" si="7"/>
        <v>65</v>
      </c>
    </row>
    <row r="227" spans="1:9" x14ac:dyDescent="0.25">
      <c r="A227" s="15">
        <v>210</v>
      </c>
      <c r="B227" s="15">
        <v>75</v>
      </c>
      <c r="C227" s="15">
        <v>1</v>
      </c>
      <c r="D227" s="15">
        <v>1</v>
      </c>
      <c r="E227" s="15">
        <v>12.6</v>
      </c>
      <c r="F227" s="15" t="s">
        <v>51</v>
      </c>
      <c r="G227" s="15">
        <f t="shared" si="6"/>
        <v>1</v>
      </c>
      <c r="H227" s="18">
        <v>95</v>
      </c>
      <c r="I227" s="15">
        <f t="shared" si="7"/>
        <v>20</v>
      </c>
    </row>
    <row r="228" spans="1:9" x14ac:dyDescent="0.25">
      <c r="A228" s="15">
        <v>211</v>
      </c>
      <c r="B228" s="15">
        <v>75</v>
      </c>
      <c r="C228" s="15">
        <v>1</v>
      </c>
      <c r="D228" s="15">
        <v>1</v>
      </c>
      <c r="E228" s="15">
        <v>12.5</v>
      </c>
      <c r="F228" s="15" t="s">
        <v>51</v>
      </c>
      <c r="G228" s="15">
        <f t="shared" si="6"/>
        <v>1</v>
      </c>
      <c r="H228" s="18">
        <v>96</v>
      </c>
      <c r="I228" s="15">
        <f t="shared" si="7"/>
        <v>21</v>
      </c>
    </row>
    <row r="229" spans="1:9" x14ac:dyDescent="0.25">
      <c r="A229" s="15">
        <v>212</v>
      </c>
      <c r="B229" s="15">
        <v>75</v>
      </c>
      <c r="C229" s="15">
        <v>1</v>
      </c>
      <c r="D229" s="15">
        <v>1</v>
      </c>
      <c r="E229" s="15">
        <v>12.5</v>
      </c>
      <c r="F229" s="15" t="s">
        <v>52</v>
      </c>
      <c r="G229" s="15">
        <f t="shared" si="6"/>
        <v>0</v>
      </c>
      <c r="H229" s="18">
        <v>153</v>
      </c>
      <c r="I229" s="15">
        <f t="shared" si="7"/>
        <v>78</v>
      </c>
    </row>
    <row r="230" spans="1:9" x14ac:dyDescent="0.25">
      <c r="A230" s="15">
        <v>213</v>
      </c>
      <c r="B230" s="15">
        <v>75</v>
      </c>
      <c r="C230" s="15">
        <v>1</v>
      </c>
      <c r="D230" s="15">
        <v>1</v>
      </c>
      <c r="E230" s="15">
        <v>12.5</v>
      </c>
      <c r="F230" s="15" t="s">
        <v>51</v>
      </c>
      <c r="G230" s="15">
        <f t="shared" si="6"/>
        <v>1</v>
      </c>
      <c r="H230" s="18">
        <v>90</v>
      </c>
      <c r="I230" s="15">
        <f t="shared" si="7"/>
        <v>15</v>
      </c>
    </row>
    <row r="231" spans="1:9" x14ac:dyDescent="0.25">
      <c r="A231" s="15">
        <v>214</v>
      </c>
      <c r="B231" s="15">
        <v>75</v>
      </c>
      <c r="C231" s="15">
        <v>1</v>
      </c>
      <c r="D231" s="15">
        <v>1</v>
      </c>
      <c r="E231" s="15">
        <v>12.4</v>
      </c>
      <c r="F231" s="15" t="s">
        <v>52</v>
      </c>
      <c r="G231" s="15">
        <f t="shared" si="6"/>
        <v>0</v>
      </c>
      <c r="H231" s="18">
        <v>144</v>
      </c>
      <c r="I231" s="15">
        <f t="shared" si="7"/>
        <v>69</v>
      </c>
    </row>
    <row r="232" spans="1:9" x14ac:dyDescent="0.25">
      <c r="A232" s="15">
        <v>215</v>
      </c>
      <c r="B232" s="15">
        <v>75</v>
      </c>
      <c r="C232" s="15">
        <v>1</v>
      </c>
      <c r="D232" s="15">
        <v>1</v>
      </c>
      <c r="E232" s="15">
        <v>12.4</v>
      </c>
      <c r="F232" s="15" t="s">
        <v>51</v>
      </c>
      <c r="G232" s="15">
        <f t="shared" si="6"/>
        <v>1</v>
      </c>
      <c r="H232" s="18">
        <v>90</v>
      </c>
      <c r="I232" s="15">
        <f t="shared" si="7"/>
        <v>15</v>
      </c>
    </row>
    <row r="233" spans="1:9" x14ac:dyDescent="0.25">
      <c r="A233" s="15">
        <v>216</v>
      </c>
      <c r="B233" s="15">
        <v>75</v>
      </c>
      <c r="C233" s="15">
        <v>1</v>
      </c>
      <c r="D233" s="15">
        <v>1</v>
      </c>
      <c r="E233" s="15">
        <v>12.4</v>
      </c>
      <c r="F233" s="15" t="s">
        <v>52</v>
      </c>
      <c r="G233" s="15">
        <f t="shared" si="6"/>
        <v>0</v>
      </c>
      <c r="H233" s="18">
        <v>145</v>
      </c>
      <c r="I233" s="15">
        <f t="shared" si="7"/>
        <v>70</v>
      </c>
    </row>
    <row r="234" spans="1:9" x14ac:dyDescent="0.25">
      <c r="A234" s="15">
        <v>217</v>
      </c>
      <c r="B234" s="15">
        <v>75</v>
      </c>
      <c r="C234" s="15">
        <v>1</v>
      </c>
      <c r="D234" s="15">
        <v>1</v>
      </c>
      <c r="E234" s="15">
        <v>12.4</v>
      </c>
      <c r="F234" s="15" t="s">
        <v>51</v>
      </c>
      <c r="G234" s="15">
        <f t="shared" si="6"/>
        <v>1</v>
      </c>
      <c r="H234" s="18">
        <v>104</v>
      </c>
      <c r="I234" s="15">
        <f t="shared" si="7"/>
        <v>29</v>
      </c>
    </row>
    <row r="235" spans="1:9" x14ac:dyDescent="0.25">
      <c r="A235" s="15">
        <v>218</v>
      </c>
      <c r="B235" s="15">
        <v>75</v>
      </c>
      <c r="C235" s="15">
        <v>1</v>
      </c>
      <c r="D235" s="15">
        <v>1</v>
      </c>
      <c r="E235" s="15">
        <v>12.4</v>
      </c>
      <c r="F235" s="15" t="s">
        <v>52</v>
      </c>
      <c r="G235" s="15">
        <f t="shared" si="6"/>
        <v>0</v>
      </c>
      <c r="H235" s="18">
        <v>121</v>
      </c>
      <c r="I235" s="15">
        <f t="shared" si="7"/>
        <v>46</v>
      </c>
    </row>
    <row r="236" spans="1:9" x14ac:dyDescent="0.25">
      <c r="A236" s="15">
        <v>219</v>
      </c>
      <c r="B236" s="15">
        <v>75</v>
      </c>
      <c r="C236" s="15">
        <v>1</v>
      </c>
      <c r="D236" s="15">
        <v>1</v>
      </c>
      <c r="E236" s="15">
        <v>12.4</v>
      </c>
      <c r="F236" s="15" t="s">
        <v>51</v>
      </c>
      <c r="G236" s="15">
        <f t="shared" si="6"/>
        <v>1</v>
      </c>
      <c r="H236" s="18">
        <v>109</v>
      </c>
      <c r="I236" s="15">
        <f t="shared" si="7"/>
        <v>34</v>
      </c>
    </row>
    <row r="237" spans="1:9" x14ac:dyDescent="0.25">
      <c r="A237" s="15">
        <v>220</v>
      </c>
      <c r="B237" s="15">
        <v>75</v>
      </c>
      <c r="C237" s="15">
        <v>1</v>
      </c>
      <c r="D237" s="15">
        <v>1</v>
      </c>
      <c r="E237" s="15">
        <v>12.4</v>
      </c>
      <c r="F237" s="15" t="s">
        <v>52</v>
      </c>
      <c r="G237" s="15">
        <f t="shared" si="6"/>
        <v>0</v>
      </c>
      <c r="H237" s="18">
        <v>116</v>
      </c>
      <c r="I237" s="15">
        <f t="shared" si="7"/>
        <v>41</v>
      </c>
    </row>
    <row r="238" spans="1:9" x14ac:dyDescent="0.25">
      <c r="A238" s="15">
        <v>221</v>
      </c>
      <c r="B238" s="15">
        <v>75</v>
      </c>
      <c r="C238" s="15">
        <v>1</v>
      </c>
      <c r="D238" s="15">
        <v>1</v>
      </c>
      <c r="E238" s="15">
        <v>12.4</v>
      </c>
      <c r="F238" s="15" t="s">
        <v>52</v>
      </c>
      <c r="G238" s="15">
        <f t="shared" si="6"/>
        <v>0</v>
      </c>
      <c r="H238" s="18">
        <v>114</v>
      </c>
      <c r="I238" s="15">
        <f t="shared" si="7"/>
        <v>39</v>
      </c>
    </row>
    <row r="239" spans="1:9" x14ac:dyDescent="0.25">
      <c r="A239" s="15">
        <v>222</v>
      </c>
      <c r="B239" s="15">
        <v>75</v>
      </c>
      <c r="C239" s="15">
        <v>1</v>
      </c>
      <c r="D239" s="15">
        <v>1</v>
      </c>
      <c r="E239" s="15">
        <v>12.3</v>
      </c>
      <c r="F239" s="15" t="s">
        <v>52</v>
      </c>
      <c r="G239" s="15">
        <f t="shared" si="6"/>
        <v>0</v>
      </c>
      <c r="H239" s="18">
        <v>137</v>
      </c>
      <c r="I239" s="15">
        <f t="shared" si="7"/>
        <v>62</v>
      </c>
    </row>
    <row r="240" spans="1:9" x14ac:dyDescent="0.25">
      <c r="A240" s="15">
        <v>223</v>
      </c>
      <c r="B240" s="15">
        <v>75</v>
      </c>
      <c r="C240" s="15">
        <v>1</v>
      </c>
      <c r="D240" s="15">
        <v>1</v>
      </c>
      <c r="E240" s="15">
        <v>12.4</v>
      </c>
      <c r="F240" s="15" t="s">
        <v>51</v>
      </c>
      <c r="G240" s="15">
        <f t="shared" si="6"/>
        <v>1</v>
      </c>
      <c r="H240" s="18">
        <v>96</v>
      </c>
      <c r="I240" s="15">
        <f t="shared" si="7"/>
        <v>21</v>
      </c>
    </row>
    <row r="241" spans="1:9" x14ac:dyDescent="0.25">
      <c r="A241" s="15">
        <v>224</v>
      </c>
      <c r="B241" s="15">
        <v>75</v>
      </c>
      <c r="C241" s="15">
        <v>1</v>
      </c>
      <c r="D241" s="15">
        <v>1</v>
      </c>
      <c r="E241" s="15">
        <v>12.4</v>
      </c>
      <c r="F241" s="15" t="s">
        <v>52</v>
      </c>
      <c r="G241" s="15">
        <f t="shared" si="6"/>
        <v>0</v>
      </c>
      <c r="H241" s="18">
        <v>129</v>
      </c>
      <c r="I241" s="15">
        <f t="shared" si="7"/>
        <v>54</v>
      </c>
    </row>
    <row r="242" spans="1:9" x14ac:dyDescent="0.25">
      <c r="A242" s="15">
        <v>225</v>
      </c>
      <c r="B242" s="15">
        <v>75</v>
      </c>
      <c r="C242" s="15">
        <v>1</v>
      </c>
      <c r="D242" s="15">
        <v>1</v>
      </c>
      <c r="E242" s="15">
        <v>12.3</v>
      </c>
      <c r="F242" s="15" t="s">
        <v>52</v>
      </c>
      <c r="G242" s="15">
        <f t="shared" si="6"/>
        <v>0</v>
      </c>
      <c r="H242" s="18">
        <v>135</v>
      </c>
      <c r="I242" s="15">
        <f t="shared" si="7"/>
        <v>60</v>
      </c>
    </row>
    <row r="243" spans="1:9" x14ac:dyDescent="0.25">
      <c r="A243" s="15">
        <v>226</v>
      </c>
      <c r="B243" s="15">
        <v>75</v>
      </c>
      <c r="C243" s="15">
        <v>1</v>
      </c>
      <c r="D243" s="15">
        <v>1</v>
      </c>
      <c r="E243" s="15">
        <v>12.4</v>
      </c>
      <c r="F243" s="15" t="s">
        <v>51</v>
      </c>
      <c r="G243" s="15">
        <f t="shared" si="6"/>
        <v>1</v>
      </c>
      <c r="H243" s="18">
        <v>96</v>
      </c>
      <c r="I243" s="15">
        <f t="shared" si="7"/>
        <v>21</v>
      </c>
    </row>
    <row r="244" spans="1:9" x14ac:dyDescent="0.25">
      <c r="A244" s="15">
        <v>227</v>
      </c>
      <c r="B244" s="15">
        <v>75</v>
      </c>
      <c r="C244" s="15">
        <v>1</v>
      </c>
      <c r="D244" s="15">
        <v>1</v>
      </c>
      <c r="E244" s="15">
        <v>12.3</v>
      </c>
      <c r="F244" s="15" t="s">
        <v>52</v>
      </c>
      <c r="G244" s="15">
        <f t="shared" si="6"/>
        <v>0</v>
      </c>
      <c r="H244" s="18">
        <v>120</v>
      </c>
      <c r="I244" s="15">
        <f t="shared" si="7"/>
        <v>45</v>
      </c>
    </row>
    <row r="245" spans="1:9" x14ac:dyDescent="0.25">
      <c r="A245" s="15">
        <v>228</v>
      </c>
      <c r="B245" s="15">
        <v>75</v>
      </c>
      <c r="C245" s="15">
        <v>1</v>
      </c>
      <c r="D245" s="15">
        <v>1</v>
      </c>
      <c r="E245" s="15">
        <v>12.4</v>
      </c>
      <c r="F245" s="15" t="s">
        <v>51</v>
      </c>
      <c r="G245" s="15">
        <f t="shared" si="6"/>
        <v>1</v>
      </c>
      <c r="H245" s="18">
        <v>113</v>
      </c>
      <c r="I245" s="15">
        <f t="shared" si="7"/>
        <v>38</v>
      </c>
    </row>
    <row r="246" spans="1:9" x14ac:dyDescent="0.25">
      <c r="A246" s="15">
        <v>229</v>
      </c>
      <c r="B246" s="15">
        <v>75</v>
      </c>
      <c r="C246" s="15">
        <v>1</v>
      </c>
      <c r="D246" s="15">
        <v>1</v>
      </c>
      <c r="E246" s="15">
        <v>12.3</v>
      </c>
      <c r="F246" s="15" t="s">
        <v>52</v>
      </c>
      <c r="G246" s="15">
        <f t="shared" si="6"/>
        <v>0</v>
      </c>
      <c r="H246" s="18">
        <v>118</v>
      </c>
      <c r="I246" s="15">
        <f t="shared" si="7"/>
        <v>43</v>
      </c>
    </row>
    <row r="247" spans="1:9" x14ac:dyDescent="0.25">
      <c r="A247" s="15">
        <v>230</v>
      </c>
      <c r="B247" s="15">
        <v>75</v>
      </c>
      <c r="C247" s="15">
        <v>1</v>
      </c>
      <c r="D247" s="15">
        <v>1</v>
      </c>
      <c r="E247" s="15">
        <v>12.3</v>
      </c>
      <c r="F247" s="15" t="s">
        <v>51</v>
      </c>
      <c r="G247" s="15">
        <f t="shared" si="6"/>
        <v>1</v>
      </c>
      <c r="H247" s="18">
        <v>109</v>
      </c>
      <c r="I247" s="15">
        <f t="shared" si="7"/>
        <v>34</v>
      </c>
    </row>
    <row r="248" spans="1:9" x14ac:dyDescent="0.25">
      <c r="A248" s="15">
        <v>231</v>
      </c>
      <c r="B248" s="15">
        <v>75</v>
      </c>
      <c r="C248" s="15">
        <v>1</v>
      </c>
      <c r="D248" s="15">
        <v>1</v>
      </c>
      <c r="E248" s="15">
        <v>12.3</v>
      </c>
      <c r="F248" s="15" t="s">
        <v>52</v>
      </c>
      <c r="G248" s="15">
        <f t="shared" si="6"/>
        <v>0</v>
      </c>
      <c r="H248" s="18">
        <v>112</v>
      </c>
      <c r="I248" s="15">
        <f t="shared" si="7"/>
        <v>37</v>
      </c>
    </row>
    <row r="249" spans="1:9" x14ac:dyDescent="0.25">
      <c r="A249" s="15">
        <v>232</v>
      </c>
      <c r="B249" s="15">
        <v>75</v>
      </c>
      <c r="C249" s="15">
        <v>1</v>
      </c>
      <c r="D249" s="15">
        <v>1</v>
      </c>
      <c r="E249" s="15">
        <v>12.3</v>
      </c>
      <c r="F249" s="15" t="s">
        <v>51</v>
      </c>
      <c r="G249" s="15">
        <f t="shared" si="6"/>
        <v>1</v>
      </c>
      <c r="H249" s="18">
        <v>108</v>
      </c>
      <c r="I249" s="15">
        <f t="shared" si="7"/>
        <v>33</v>
      </c>
    </row>
    <row r="250" spans="1:9" x14ac:dyDescent="0.25">
      <c r="A250" s="15">
        <v>233</v>
      </c>
      <c r="B250" s="15">
        <v>75</v>
      </c>
      <c r="C250" s="15">
        <v>1</v>
      </c>
      <c r="D250" s="15">
        <v>1</v>
      </c>
      <c r="E250" s="15">
        <v>12.4</v>
      </c>
      <c r="F250" s="15" t="s">
        <v>52</v>
      </c>
      <c r="G250" s="15">
        <f t="shared" si="6"/>
        <v>0</v>
      </c>
      <c r="H250" s="18">
        <v>138</v>
      </c>
      <c r="I250" s="15">
        <f t="shared" si="7"/>
        <v>63</v>
      </c>
    </row>
    <row r="251" spans="1:9" x14ac:dyDescent="0.25">
      <c r="A251" s="15">
        <v>234</v>
      </c>
      <c r="B251" s="15">
        <v>75</v>
      </c>
      <c r="C251" s="15">
        <v>1</v>
      </c>
      <c r="D251" s="15">
        <v>1</v>
      </c>
      <c r="E251" s="15">
        <v>12.3</v>
      </c>
      <c r="F251" s="15" t="s">
        <v>51</v>
      </c>
      <c r="G251" s="15">
        <f t="shared" si="6"/>
        <v>1</v>
      </c>
      <c r="H251" s="18">
        <v>113</v>
      </c>
      <c r="I251" s="15">
        <f t="shared" si="7"/>
        <v>38</v>
      </c>
    </row>
    <row r="252" spans="1:9" x14ac:dyDescent="0.25">
      <c r="A252" s="15">
        <v>235</v>
      </c>
      <c r="B252" s="15">
        <v>75</v>
      </c>
      <c r="C252" s="15">
        <v>1</v>
      </c>
      <c r="D252" s="15">
        <v>1</v>
      </c>
      <c r="E252" s="15">
        <v>12.4</v>
      </c>
      <c r="F252" s="15" t="s">
        <v>52</v>
      </c>
      <c r="G252" s="15">
        <f t="shared" si="6"/>
        <v>0</v>
      </c>
      <c r="H252" s="18">
        <v>135</v>
      </c>
      <c r="I252" s="15">
        <f t="shared" si="7"/>
        <v>60</v>
      </c>
    </row>
    <row r="253" spans="1:9" x14ac:dyDescent="0.25">
      <c r="A253" s="15">
        <v>236</v>
      </c>
      <c r="B253" s="15">
        <v>75</v>
      </c>
      <c r="C253" s="15">
        <v>0.75</v>
      </c>
      <c r="D253" s="15">
        <v>1</v>
      </c>
      <c r="E253" s="15">
        <v>12.7</v>
      </c>
      <c r="F253" s="15" t="s">
        <v>51</v>
      </c>
      <c r="G253" s="15">
        <f t="shared" si="6"/>
        <v>1</v>
      </c>
      <c r="H253" s="18">
        <v>134</v>
      </c>
      <c r="I253" s="15">
        <f t="shared" si="7"/>
        <v>59</v>
      </c>
    </row>
    <row r="254" spans="1:9" x14ac:dyDescent="0.25">
      <c r="A254" s="15">
        <v>237</v>
      </c>
      <c r="B254" s="15">
        <v>75</v>
      </c>
      <c r="C254" s="15">
        <v>0.75</v>
      </c>
      <c r="D254" s="15">
        <v>1</v>
      </c>
      <c r="E254" s="15">
        <v>12.6</v>
      </c>
      <c r="F254" s="15" t="s">
        <v>52</v>
      </c>
      <c r="G254" s="15">
        <f t="shared" si="6"/>
        <v>0</v>
      </c>
      <c r="H254" s="18">
        <v>156</v>
      </c>
      <c r="I254" s="15">
        <f t="shared" si="7"/>
        <v>81</v>
      </c>
    </row>
    <row r="255" spans="1:9" x14ac:dyDescent="0.25">
      <c r="A255" s="15">
        <v>238</v>
      </c>
      <c r="B255" s="15">
        <v>75</v>
      </c>
      <c r="C255" s="15">
        <v>0.75</v>
      </c>
      <c r="D255" s="15">
        <v>1</v>
      </c>
      <c r="E255" s="15">
        <v>12.6</v>
      </c>
      <c r="F255" s="15" t="s">
        <v>51</v>
      </c>
      <c r="G255" s="15">
        <f t="shared" si="6"/>
        <v>1</v>
      </c>
      <c r="H255" s="18">
        <v>139</v>
      </c>
      <c r="I255" s="15">
        <f t="shared" si="7"/>
        <v>64</v>
      </c>
    </row>
    <row r="256" spans="1:9" x14ac:dyDescent="0.25">
      <c r="A256" s="15">
        <v>239</v>
      </c>
      <c r="B256" s="15">
        <v>75</v>
      </c>
      <c r="C256" s="15">
        <v>0.75</v>
      </c>
      <c r="D256" s="15">
        <v>1</v>
      </c>
      <c r="E256" s="15">
        <v>12.5</v>
      </c>
      <c r="F256" s="15" t="s">
        <v>52</v>
      </c>
      <c r="G256" s="15">
        <f t="shared" si="6"/>
        <v>0</v>
      </c>
      <c r="H256" s="18">
        <v>141</v>
      </c>
      <c r="I256" s="15">
        <f t="shared" si="7"/>
        <v>66</v>
      </c>
    </row>
    <row r="257" spans="1:9" x14ac:dyDescent="0.25">
      <c r="A257" s="15">
        <v>240</v>
      </c>
      <c r="B257" s="15">
        <v>75</v>
      </c>
      <c r="C257" s="15">
        <v>0.75</v>
      </c>
      <c r="D257" s="15">
        <v>1</v>
      </c>
      <c r="E257" s="15">
        <v>12.5</v>
      </c>
      <c r="F257" s="15" t="s">
        <v>51</v>
      </c>
      <c r="G257" s="15">
        <f t="shared" si="6"/>
        <v>1</v>
      </c>
      <c r="H257" s="18">
        <v>125</v>
      </c>
      <c r="I257" s="15">
        <f t="shared" si="7"/>
        <v>50</v>
      </c>
    </row>
    <row r="258" spans="1:9" x14ac:dyDescent="0.25">
      <c r="A258" s="15">
        <v>241</v>
      </c>
      <c r="B258" s="15">
        <v>75</v>
      </c>
      <c r="C258" s="15">
        <v>0.75</v>
      </c>
      <c r="D258" s="15">
        <v>1</v>
      </c>
      <c r="E258" s="15">
        <v>12.5</v>
      </c>
      <c r="F258" s="15" t="s">
        <v>52</v>
      </c>
      <c r="G258" s="15">
        <f t="shared" si="6"/>
        <v>0</v>
      </c>
      <c r="H258" s="18">
        <v>147</v>
      </c>
      <c r="I258" s="15">
        <f t="shared" si="7"/>
        <v>72</v>
      </c>
    </row>
    <row r="259" spans="1:9" x14ac:dyDescent="0.25">
      <c r="A259" s="15">
        <v>242</v>
      </c>
      <c r="B259" s="15">
        <v>75</v>
      </c>
      <c r="C259" s="15">
        <v>0.75</v>
      </c>
      <c r="D259" s="15">
        <v>1</v>
      </c>
      <c r="E259" s="15">
        <v>12.5</v>
      </c>
      <c r="F259" s="15" t="s">
        <v>51</v>
      </c>
      <c r="G259" s="15">
        <f t="shared" si="6"/>
        <v>1</v>
      </c>
      <c r="H259" s="18">
        <v>120</v>
      </c>
      <c r="I259" s="15">
        <f t="shared" si="7"/>
        <v>45</v>
      </c>
    </row>
    <row r="260" spans="1:9" x14ac:dyDescent="0.25">
      <c r="A260" s="15">
        <v>243</v>
      </c>
      <c r="B260" s="15">
        <v>75</v>
      </c>
      <c r="C260" s="15">
        <v>0.75</v>
      </c>
      <c r="D260" s="15">
        <v>1</v>
      </c>
      <c r="E260" s="15">
        <v>12.4</v>
      </c>
      <c r="F260" s="15" t="s">
        <v>52</v>
      </c>
      <c r="G260" s="15">
        <f t="shared" si="6"/>
        <v>0</v>
      </c>
      <c r="H260" s="18">
        <v>122</v>
      </c>
      <c r="I260" s="15">
        <f t="shared" si="7"/>
        <v>47</v>
      </c>
    </row>
    <row r="261" spans="1:9" x14ac:dyDescent="0.25">
      <c r="A261" s="15">
        <v>244</v>
      </c>
      <c r="B261" s="15">
        <v>75</v>
      </c>
      <c r="C261" s="15">
        <v>0.75</v>
      </c>
      <c r="D261" s="15">
        <v>1</v>
      </c>
      <c r="E261" s="15">
        <v>12.4</v>
      </c>
      <c r="F261" s="15" t="s">
        <v>51</v>
      </c>
      <c r="G261" s="15">
        <f t="shared" si="6"/>
        <v>1</v>
      </c>
      <c r="H261" s="18">
        <v>141</v>
      </c>
      <c r="I261" s="15">
        <f t="shared" si="7"/>
        <v>66</v>
      </c>
    </row>
    <row r="262" spans="1:9" x14ac:dyDescent="0.25">
      <c r="A262" s="15">
        <v>245</v>
      </c>
      <c r="B262" s="15">
        <v>75</v>
      </c>
      <c r="C262" s="15">
        <v>0.75</v>
      </c>
      <c r="D262" s="15">
        <v>1</v>
      </c>
      <c r="E262" s="15">
        <v>12.4</v>
      </c>
      <c r="F262" s="15" t="s">
        <v>52</v>
      </c>
      <c r="G262" s="15">
        <f t="shared" si="6"/>
        <v>0</v>
      </c>
      <c r="H262" s="18">
        <v>141</v>
      </c>
      <c r="I262" s="15">
        <f t="shared" si="7"/>
        <v>66</v>
      </c>
    </row>
    <row r="263" spans="1:9" x14ac:dyDescent="0.25">
      <c r="A263" s="15">
        <v>246</v>
      </c>
      <c r="B263" s="15">
        <v>75</v>
      </c>
      <c r="C263" s="15">
        <v>0.75</v>
      </c>
      <c r="D263" s="15">
        <v>1</v>
      </c>
      <c r="E263" s="15">
        <v>12.4</v>
      </c>
      <c r="F263" s="15" t="s">
        <v>51</v>
      </c>
      <c r="G263" s="15">
        <f t="shared" si="6"/>
        <v>1</v>
      </c>
      <c r="H263" s="18">
        <v>127</v>
      </c>
      <c r="I263" s="15">
        <f t="shared" si="7"/>
        <v>52</v>
      </c>
    </row>
    <row r="264" spans="1:9" x14ac:dyDescent="0.25">
      <c r="A264" s="15">
        <v>247</v>
      </c>
      <c r="B264" s="15">
        <v>75</v>
      </c>
      <c r="C264" s="15">
        <v>0.75</v>
      </c>
      <c r="D264" s="15">
        <v>1</v>
      </c>
      <c r="E264" s="15">
        <v>12.4</v>
      </c>
      <c r="F264" s="15" t="s">
        <v>52</v>
      </c>
      <c r="G264" s="15">
        <f t="shared" si="6"/>
        <v>0</v>
      </c>
      <c r="H264" s="18">
        <v>126</v>
      </c>
      <c r="I264" s="15">
        <f t="shared" si="7"/>
        <v>51</v>
      </c>
    </row>
    <row r="265" spans="1:9" x14ac:dyDescent="0.25">
      <c r="A265" s="15">
        <v>248</v>
      </c>
      <c r="B265" s="15">
        <v>75</v>
      </c>
      <c r="C265" s="15">
        <v>0.75</v>
      </c>
      <c r="D265" s="15">
        <v>1</v>
      </c>
      <c r="E265" s="15">
        <v>12.4</v>
      </c>
      <c r="F265" s="15" t="s">
        <v>51</v>
      </c>
      <c r="G265" s="15">
        <f t="shared" si="6"/>
        <v>1</v>
      </c>
      <c r="H265" s="18">
        <v>117</v>
      </c>
      <c r="I265" s="15">
        <f t="shared" si="7"/>
        <v>42</v>
      </c>
    </row>
    <row r="266" spans="1:9" x14ac:dyDescent="0.25">
      <c r="A266" s="15">
        <v>249</v>
      </c>
      <c r="B266" s="15">
        <v>75</v>
      </c>
      <c r="C266" s="15">
        <v>0.75</v>
      </c>
      <c r="D266" s="15">
        <v>1</v>
      </c>
      <c r="E266" s="15">
        <v>12.4</v>
      </c>
      <c r="F266" s="15" t="s">
        <v>52</v>
      </c>
      <c r="G266" s="15">
        <f t="shared" si="6"/>
        <v>0</v>
      </c>
      <c r="H266" s="18">
        <v>139</v>
      </c>
      <c r="I266" s="15">
        <f t="shared" si="7"/>
        <v>64</v>
      </c>
    </row>
    <row r="267" spans="1:9" x14ac:dyDescent="0.25">
      <c r="A267" s="15">
        <v>250</v>
      </c>
      <c r="B267" s="15">
        <v>75</v>
      </c>
      <c r="C267" s="15">
        <v>0.75</v>
      </c>
      <c r="D267" s="15">
        <v>1</v>
      </c>
      <c r="E267" s="15">
        <v>12.4</v>
      </c>
      <c r="F267" s="15" t="s">
        <v>51</v>
      </c>
      <c r="G267" s="15">
        <f t="shared" si="6"/>
        <v>1</v>
      </c>
      <c r="H267" s="18">
        <v>119</v>
      </c>
      <c r="I267" s="15">
        <f t="shared" si="7"/>
        <v>44</v>
      </c>
    </row>
    <row r="268" spans="1:9" x14ac:dyDescent="0.25">
      <c r="A268" s="15">
        <v>251</v>
      </c>
      <c r="B268" s="15">
        <v>75</v>
      </c>
      <c r="C268" s="15">
        <v>0.75</v>
      </c>
      <c r="D268" s="15">
        <v>1</v>
      </c>
      <c r="E268" s="15">
        <v>12.3</v>
      </c>
      <c r="F268" s="15" t="s">
        <v>52</v>
      </c>
      <c r="G268" s="15">
        <f t="shared" si="6"/>
        <v>0</v>
      </c>
      <c r="H268" s="18">
        <v>150</v>
      </c>
      <c r="I268" s="15">
        <f t="shared" si="7"/>
        <v>75</v>
      </c>
    </row>
    <row r="269" spans="1:9" x14ac:dyDescent="0.25">
      <c r="A269" s="15">
        <v>252</v>
      </c>
      <c r="B269" s="15">
        <v>75</v>
      </c>
      <c r="C269" s="15">
        <v>0.75</v>
      </c>
      <c r="D269" s="15">
        <v>1</v>
      </c>
      <c r="E269" s="15">
        <v>12.4</v>
      </c>
      <c r="F269" s="15" t="s">
        <v>51</v>
      </c>
      <c r="G269" s="15">
        <f t="shared" si="6"/>
        <v>1</v>
      </c>
      <c r="H269" s="18">
        <v>134</v>
      </c>
      <c r="I269" s="15">
        <f t="shared" si="7"/>
        <v>59</v>
      </c>
    </row>
    <row r="270" spans="1:9" x14ac:dyDescent="0.25">
      <c r="A270" s="15">
        <v>253</v>
      </c>
      <c r="B270" s="15">
        <v>75</v>
      </c>
      <c r="C270" s="15">
        <v>0.75</v>
      </c>
      <c r="D270" s="15">
        <v>1</v>
      </c>
      <c r="E270" s="15">
        <v>12.3</v>
      </c>
      <c r="F270" s="15" t="s">
        <v>52</v>
      </c>
      <c r="G270" s="15">
        <f t="shared" si="6"/>
        <v>0</v>
      </c>
      <c r="H270" s="18">
        <v>135</v>
      </c>
      <c r="I270" s="15">
        <f t="shared" si="7"/>
        <v>60</v>
      </c>
    </row>
    <row r="271" spans="1:9" x14ac:dyDescent="0.25">
      <c r="A271" s="15">
        <v>254</v>
      </c>
      <c r="B271" s="15">
        <v>75</v>
      </c>
      <c r="C271" s="15">
        <v>0.75</v>
      </c>
      <c r="D271" s="15">
        <v>1</v>
      </c>
      <c r="E271" s="15">
        <v>12.3</v>
      </c>
      <c r="F271" s="15" t="s">
        <v>51</v>
      </c>
      <c r="G271" s="15">
        <f t="shared" si="6"/>
        <v>1</v>
      </c>
      <c r="H271" s="18">
        <v>124</v>
      </c>
      <c r="I271" s="15">
        <f t="shared" si="7"/>
        <v>49</v>
      </c>
    </row>
    <row r="272" spans="1:9" x14ac:dyDescent="0.25">
      <c r="A272" s="15">
        <v>255</v>
      </c>
      <c r="B272" s="15">
        <v>75</v>
      </c>
      <c r="C272" s="15">
        <v>0.75</v>
      </c>
      <c r="D272" s="15">
        <v>1</v>
      </c>
      <c r="E272" s="15">
        <v>12.4</v>
      </c>
      <c r="F272" s="15" t="s">
        <v>52</v>
      </c>
      <c r="G272" s="15">
        <f t="shared" si="6"/>
        <v>0</v>
      </c>
      <c r="H272" s="18">
        <v>161</v>
      </c>
      <c r="I272" s="15">
        <f t="shared" si="7"/>
        <v>86</v>
      </c>
    </row>
    <row r="273" spans="1:9" x14ac:dyDescent="0.25">
      <c r="A273" s="15">
        <v>256</v>
      </c>
      <c r="B273" s="15">
        <v>75</v>
      </c>
      <c r="C273" s="15">
        <v>0.75</v>
      </c>
      <c r="D273" s="15">
        <v>1</v>
      </c>
      <c r="E273" s="15">
        <v>12.3</v>
      </c>
      <c r="F273" s="15" t="s">
        <v>51</v>
      </c>
      <c r="G273" s="15">
        <f t="shared" si="6"/>
        <v>1</v>
      </c>
      <c r="H273" s="18">
        <v>122</v>
      </c>
      <c r="I273" s="15">
        <f t="shared" si="7"/>
        <v>47</v>
      </c>
    </row>
    <row r="274" spans="1:9" x14ac:dyDescent="0.25">
      <c r="A274" s="15">
        <v>257</v>
      </c>
      <c r="B274" s="15">
        <v>75</v>
      </c>
      <c r="C274" s="15">
        <v>0.75</v>
      </c>
      <c r="D274" s="15">
        <v>1</v>
      </c>
      <c r="E274" s="15">
        <v>12.3</v>
      </c>
      <c r="F274" s="15" t="s">
        <v>52</v>
      </c>
      <c r="G274" s="15">
        <f t="shared" ref="G274:G331" si="8">IF(F274="center", 1, 0)</f>
        <v>0</v>
      </c>
      <c r="H274" s="18">
        <v>128</v>
      </c>
      <c r="I274" s="15">
        <f t="shared" ref="I274:I331" si="9">H274-B274</f>
        <v>53</v>
      </c>
    </row>
    <row r="275" spans="1:9" x14ac:dyDescent="0.25">
      <c r="A275" s="15">
        <v>258</v>
      </c>
      <c r="B275" s="15">
        <v>75</v>
      </c>
      <c r="C275" s="15">
        <v>0.75</v>
      </c>
      <c r="D275" s="15">
        <v>1</v>
      </c>
      <c r="E275" s="15">
        <v>12.3</v>
      </c>
      <c r="F275" s="15" t="s">
        <v>51</v>
      </c>
      <c r="G275" s="15">
        <f t="shared" si="8"/>
        <v>1</v>
      </c>
      <c r="H275" s="18">
        <v>115</v>
      </c>
      <c r="I275" s="15">
        <f t="shared" si="9"/>
        <v>40</v>
      </c>
    </row>
    <row r="276" spans="1:9" x14ac:dyDescent="0.25">
      <c r="A276" s="15">
        <v>259</v>
      </c>
      <c r="B276" s="15">
        <v>75</v>
      </c>
      <c r="C276" s="15">
        <v>0.75</v>
      </c>
      <c r="D276" s="15">
        <v>1</v>
      </c>
      <c r="E276" s="15">
        <v>12.3</v>
      </c>
      <c r="F276" s="15" t="s">
        <v>52</v>
      </c>
      <c r="G276" s="15">
        <f t="shared" si="8"/>
        <v>0</v>
      </c>
      <c r="H276" s="18">
        <v>156</v>
      </c>
      <c r="I276" s="15">
        <f t="shared" si="9"/>
        <v>81</v>
      </c>
    </row>
    <row r="277" spans="1:9" x14ac:dyDescent="0.25">
      <c r="A277" s="15">
        <v>260</v>
      </c>
      <c r="B277" s="15">
        <v>75</v>
      </c>
      <c r="C277" s="15">
        <v>0.75</v>
      </c>
      <c r="D277" s="15">
        <v>1</v>
      </c>
      <c r="E277" s="15">
        <v>12.3</v>
      </c>
      <c r="F277" s="15" t="s">
        <v>51</v>
      </c>
      <c r="G277" s="15">
        <f t="shared" si="8"/>
        <v>1</v>
      </c>
      <c r="H277" s="18">
        <v>120</v>
      </c>
      <c r="I277" s="15">
        <f t="shared" si="9"/>
        <v>45</v>
      </c>
    </row>
    <row r="278" spans="1:9" x14ac:dyDescent="0.25">
      <c r="A278" s="15">
        <v>261</v>
      </c>
      <c r="B278" s="15">
        <v>75</v>
      </c>
      <c r="C278" s="15">
        <v>0.75</v>
      </c>
      <c r="D278" s="15">
        <v>1</v>
      </c>
      <c r="E278" s="15">
        <v>12.4</v>
      </c>
      <c r="F278" s="15" t="s">
        <v>51</v>
      </c>
      <c r="G278" s="15">
        <f t="shared" si="8"/>
        <v>1</v>
      </c>
      <c r="H278" s="18">
        <v>96</v>
      </c>
      <c r="I278" s="15">
        <f t="shared" si="9"/>
        <v>21</v>
      </c>
    </row>
    <row r="279" spans="1:9" x14ac:dyDescent="0.25">
      <c r="A279" s="15">
        <v>262</v>
      </c>
      <c r="B279" s="15">
        <v>75</v>
      </c>
      <c r="C279" s="15">
        <v>0.75</v>
      </c>
      <c r="D279" s="15">
        <v>1</v>
      </c>
      <c r="E279" s="15">
        <v>12.3</v>
      </c>
      <c r="F279" s="15" t="s">
        <v>52</v>
      </c>
      <c r="G279" s="15">
        <f t="shared" si="8"/>
        <v>0</v>
      </c>
      <c r="H279" s="18">
        <v>120</v>
      </c>
      <c r="I279" s="15">
        <f t="shared" si="9"/>
        <v>45</v>
      </c>
    </row>
    <row r="280" spans="1:9" x14ac:dyDescent="0.25">
      <c r="A280" s="15">
        <v>263</v>
      </c>
      <c r="B280" s="15">
        <v>75</v>
      </c>
      <c r="C280" s="15">
        <v>0.6</v>
      </c>
      <c r="D280" s="15">
        <v>1</v>
      </c>
      <c r="E280" s="15">
        <v>12.6</v>
      </c>
      <c r="F280" s="15" t="s">
        <v>51</v>
      </c>
      <c r="G280" s="15">
        <f t="shared" si="8"/>
        <v>1</v>
      </c>
      <c r="H280" s="18">
        <v>147</v>
      </c>
      <c r="I280" s="15">
        <f t="shared" si="9"/>
        <v>72</v>
      </c>
    </row>
    <row r="281" spans="1:9" x14ac:dyDescent="0.25">
      <c r="A281" s="15">
        <v>264</v>
      </c>
      <c r="B281" s="15">
        <v>75</v>
      </c>
      <c r="C281" s="15">
        <v>0.6</v>
      </c>
      <c r="D281" s="15">
        <v>1</v>
      </c>
      <c r="E281" s="15">
        <v>12.6</v>
      </c>
      <c r="F281" s="15" t="s">
        <v>52</v>
      </c>
      <c r="G281" s="15">
        <f t="shared" si="8"/>
        <v>0</v>
      </c>
      <c r="H281" s="18">
        <v>169</v>
      </c>
      <c r="I281" s="15">
        <f t="shared" si="9"/>
        <v>94</v>
      </c>
    </row>
    <row r="282" spans="1:9" x14ac:dyDescent="0.25">
      <c r="A282" s="15">
        <v>265</v>
      </c>
      <c r="B282" s="15">
        <v>75</v>
      </c>
      <c r="C282" s="15">
        <v>0.6</v>
      </c>
      <c r="D282" s="15">
        <v>1</v>
      </c>
      <c r="E282" s="15">
        <v>12.6</v>
      </c>
      <c r="F282" s="15" t="s">
        <v>51</v>
      </c>
      <c r="G282" s="15">
        <f t="shared" si="8"/>
        <v>1</v>
      </c>
      <c r="H282" s="18">
        <v>146</v>
      </c>
      <c r="I282" s="15">
        <f t="shared" si="9"/>
        <v>71</v>
      </c>
    </row>
    <row r="283" spans="1:9" x14ac:dyDescent="0.25">
      <c r="A283" s="15">
        <v>266</v>
      </c>
      <c r="B283" s="15">
        <v>75</v>
      </c>
      <c r="C283" s="15">
        <v>0.6</v>
      </c>
      <c r="D283" s="15">
        <v>1</v>
      </c>
      <c r="E283" s="15">
        <v>12.5</v>
      </c>
      <c r="F283" s="15" t="s">
        <v>52</v>
      </c>
      <c r="G283" s="15">
        <f t="shared" si="8"/>
        <v>0</v>
      </c>
      <c r="H283" s="18">
        <v>146</v>
      </c>
      <c r="I283" s="15">
        <f t="shared" si="9"/>
        <v>71</v>
      </c>
    </row>
    <row r="284" spans="1:9" x14ac:dyDescent="0.25">
      <c r="A284" s="15">
        <v>267</v>
      </c>
      <c r="B284" s="15">
        <v>75</v>
      </c>
      <c r="C284" s="15">
        <v>0.6</v>
      </c>
      <c r="D284" s="15">
        <v>1</v>
      </c>
      <c r="E284" s="15">
        <v>12.5</v>
      </c>
      <c r="F284" s="15" t="s">
        <v>51</v>
      </c>
      <c r="G284" s="15">
        <f t="shared" si="8"/>
        <v>1</v>
      </c>
      <c r="H284" s="18">
        <v>136</v>
      </c>
      <c r="I284" s="15">
        <f t="shared" si="9"/>
        <v>61</v>
      </c>
    </row>
    <row r="285" spans="1:9" x14ac:dyDescent="0.25">
      <c r="A285" s="15">
        <v>268</v>
      </c>
      <c r="B285" s="15">
        <v>75</v>
      </c>
      <c r="C285" s="15">
        <v>0.6</v>
      </c>
      <c r="D285" s="15">
        <v>1</v>
      </c>
      <c r="E285" s="15">
        <v>12.4</v>
      </c>
      <c r="F285" s="15" t="s">
        <v>52</v>
      </c>
      <c r="G285" s="15">
        <f t="shared" si="8"/>
        <v>0</v>
      </c>
      <c r="H285" s="18">
        <v>166</v>
      </c>
      <c r="I285" s="15">
        <f t="shared" si="9"/>
        <v>91</v>
      </c>
    </row>
    <row r="286" spans="1:9" x14ac:dyDescent="0.25">
      <c r="A286" s="15">
        <v>269</v>
      </c>
      <c r="B286" s="15">
        <v>75</v>
      </c>
      <c r="C286" s="15">
        <v>0.6</v>
      </c>
      <c r="D286" s="15">
        <v>1</v>
      </c>
      <c r="E286" s="15">
        <v>12.4</v>
      </c>
      <c r="F286" s="15" t="s">
        <v>51</v>
      </c>
      <c r="G286" s="15">
        <f t="shared" si="8"/>
        <v>1</v>
      </c>
      <c r="H286" s="18">
        <v>148</v>
      </c>
      <c r="I286" s="15">
        <f t="shared" si="9"/>
        <v>73</v>
      </c>
    </row>
    <row r="287" spans="1:9" x14ac:dyDescent="0.25">
      <c r="A287" s="15">
        <v>270</v>
      </c>
      <c r="B287" s="15">
        <v>75</v>
      </c>
      <c r="C287" s="15">
        <v>0.6</v>
      </c>
      <c r="D287" s="15">
        <v>1</v>
      </c>
      <c r="E287" s="15">
        <v>12.4</v>
      </c>
      <c r="F287" s="15" t="s">
        <v>51</v>
      </c>
      <c r="G287" s="15">
        <f t="shared" si="8"/>
        <v>1</v>
      </c>
      <c r="H287" s="18">
        <v>132</v>
      </c>
      <c r="I287" s="15">
        <f t="shared" si="9"/>
        <v>57</v>
      </c>
    </row>
    <row r="288" spans="1:9" x14ac:dyDescent="0.25">
      <c r="A288" s="15">
        <v>271</v>
      </c>
      <c r="B288" s="15">
        <v>75</v>
      </c>
      <c r="C288" s="15">
        <v>0.6</v>
      </c>
      <c r="D288" s="15">
        <v>1</v>
      </c>
      <c r="E288" s="15">
        <v>12.4</v>
      </c>
      <c r="F288" s="15" t="s">
        <v>52</v>
      </c>
      <c r="G288" s="15">
        <f t="shared" si="8"/>
        <v>0</v>
      </c>
      <c r="H288" s="18">
        <v>155</v>
      </c>
      <c r="I288" s="15">
        <f t="shared" si="9"/>
        <v>80</v>
      </c>
    </row>
    <row r="289" spans="1:9" x14ac:dyDescent="0.25">
      <c r="A289" s="15">
        <v>272</v>
      </c>
      <c r="B289" s="15">
        <v>75</v>
      </c>
      <c r="C289" s="15">
        <v>0.6</v>
      </c>
      <c r="D289" s="15">
        <v>1</v>
      </c>
      <c r="E289" s="15">
        <v>12.4</v>
      </c>
      <c r="F289" s="15" t="s">
        <v>51</v>
      </c>
      <c r="G289" s="15">
        <f t="shared" si="8"/>
        <v>1</v>
      </c>
      <c r="H289" s="18">
        <v>132</v>
      </c>
      <c r="I289" s="15">
        <f t="shared" si="9"/>
        <v>57</v>
      </c>
    </row>
    <row r="290" spans="1:9" x14ac:dyDescent="0.25">
      <c r="A290" s="15">
        <v>273</v>
      </c>
      <c r="B290" s="15">
        <v>75</v>
      </c>
      <c r="C290" s="15">
        <v>0.6</v>
      </c>
      <c r="D290" s="15">
        <v>1</v>
      </c>
      <c r="E290" s="15">
        <v>12.4</v>
      </c>
      <c r="F290" s="15" t="s">
        <v>52</v>
      </c>
      <c r="G290" s="15">
        <f t="shared" si="8"/>
        <v>0</v>
      </c>
      <c r="H290" s="18">
        <v>149</v>
      </c>
      <c r="I290" s="15">
        <f t="shared" si="9"/>
        <v>74</v>
      </c>
    </row>
    <row r="291" spans="1:9" x14ac:dyDescent="0.25">
      <c r="A291" s="15">
        <v>274</v>
      </c>
      <c r="B291" s="15">
        <v>75</v>
      </c>
      <c r="C291" s="15">
        <v>0.6</v>
      </c>
      <c r="D291" s="15">
        <v>1</v>
      </c>
      <c r="E291" s="15">
        <v>12.4</v>
      </c>
      <c r="F291" s="15" t="s">
        <v>51</v>
      </c>
      <c r="G291" s="15">
        <f t="shared" si="8"/>
        <v>1</v>
      </c>
      <c r="H291" s="18">
        <v>130</v>
      </c>
      <c r="I291" s="15">
        <f t="shared" si="9"/>
        <v>55</v>
      </c>
    </row>
    <row r="292" spans="1:9" x14ac:dyDescent="0.25">
      <c r="A292" s="15">
        <v>275</v>
      </c>
      <c r="B292" s="15">
        <v>75</v>
      </c>
      <c r="C292" s="15">
        <v>0.6</v>
      </c>
      <c r="D292" s="15">
        <v>1</v>
      </c>
      <c r="E292" s="15">
        <v>12.3</v>
      </c>
      <c r="F292" s="15" t="s">
        <v>52</v>
      </c>
      <c r="G292" s="15">
        <f t="shared" si="8"/>
        <v>0</v>
      </c>
      <c r="H292" s="18">
        <v>154</v>
      </c>
      <c r="I292" s="15">
        <f t="shared" si="9"/>
        <v>79</v>
      </c>
    </row>
    <row r="293" spans="1:9" x14ac:dyDescent="0.25">
      <c r="A293" s="15">
        <v>276</v>
      </c>
      <c r="B293" s="15">
        <v>75</v>
      </c>
      <c r="C293" s="15">
        <v>0.6</v>
      </c>
      <c r="D293" s="15">
        <v>1</v>
      </c>
      <c r="E293" s="15">
        <v>12.3</v>
      </c>
      <c r="F293" s="15" t="s">
        <v>51</v>
      </c>
      <c r="G293" s="15">
        <f t="shared" si="8"/>
        <v>1</v>
      </c>
      <c r="H293" s="18">
        <v>128</v>
      </c>
      <c r="I293" s="15">
        <f t="shared" si="9"/>
        <v>53</v>
      </c>
    </row>
    <row r="294" spans="1:9" x14ac:dyDescent="0.25">
      <c r="A294" s="15">
        <v>277</v>
      </c>
      <c r="B294" s="15">
        <v>75</v>
      </c>
      <c r="C294" s="15">
        <v>0.6</v>
      </c>
      <c r="D294" s="15">
        <v>1</v>
      </c>
      <c r="E294" s="15">
        <v>12.3</v>
      </c>
      <c r="F294" s="15" t="s">
        <v>52</v>
      </c>
      <c r="G294" s="15">
        <f t="shared" si="8"/>
        <v>0</v>
      </c>
      <c r="H294" s="18">
        <v>147</v>
      </c>
      <c r="I294" s="15">
        <f t="shared" si="9"/>
        <v>72</v>
      </c>
    </row>
    <row r="295" spans="1:9" x14ac:dyDescent="0.25">
      <c r="A295" s="15">
        <v>278</v>
      </c>
      <c r="B295" s="15">
        <v>75</v>
      </c>
      <c r="C295" s="15">
        <v>0.6</v>
      </c>
      <c r="D295" s="15">
        <v>1</v>
      </c>
      <c r="E295" s="15">
        <v>12.3</v>
      </c>
      <c r="F295" s="15" t="s">
        <v>51</v>
      </c>
      <c r="G295" s="15">
        <f t="shared" si="8"/>
        <v>1</v>
      </c>
      <c r="H295" s="18">
        <v>129</v>
      </c>
      <c r="I295" s="15">
        <f t="shared" si="9"/>
        <v>54</v>
      </c>
    </row>
    <row r="296" spans="1:9" x14ac:dyDescent="0.25">
      <c r="A296" s="15">
        <v>279</v>
      </c>
      <c r="B296" s="15">
        <v>75</v>
      </c>
      <c r="C296" s="15">
        <v>0.6</v>
      </c>
      <c r="D296" s="15">
        <v>1</v>
      </c>
      <c r="E296" s="15">
        <v>12.3</v>
      </c>
      <c r="F296" s="15" t="s">
        <v>52</v>
      </c>
      <c r="G296" s="15">
        <f t="shared" si="8"/>
        <v>0</v>
      </c>
      <c r="H296" s="18">
        <v>139</v>
      </c>
      <c r="I296" s="15">
        <f t="shared" si="9"/>
        <v>64</v>
      </c>
    </row>
    <row r="297" spans="1:9" x14ac:dyDescent="0.25">
      <c r="A297" s="15">
        <v>280</v>
      </c>
      <c r="B297" s="15">
        <v>75</v>
      </c>
      <c r="C297" s="15">
        <v>0.6</v>
      </c>
      <c r="D297" s="15">
        <v>1</v>
      </c>
      <c r="E297" s="15">
        <v>12.3</v>
      </c>
      <c r="F297" s="15" t="s">
        <v>51</v>
      </c>
      <c r="G297" s="15">
        <f t="shared" si="8"/>
        <v>1</v>
      </c>
      <c r="H297" s="18">
        <v>133</v>
      </c>
      <c r="I297" s="15">
        <f t="shared" si="9"/>
        <v>58</v>
      </c>
    </row>
    <row r="298" spans="1:9" x14ac:dyDescent="0.25">
      <c r="A298" s="15">
        <v>281</v>
      </c>
      <c r="B298" s="15">
        <v>75</v>
      </c>
      <c r="C298" s="15">
        <v>0.6</v>
      </c>
      <c r="D298" s="15">
        <v>1</v>
      </c>
      <c r="E298" s="15">
        <v>12.3</v>
      </c>
      <c r="F298" s="15" t="s">
        <v>52</v>
      </c>
      <c r="G298" s="15">
        <f t="shared" si="8"/>
        <v>0</v>
      </c>
      <c r="H298" s="18">
        <v>136</v>
      </c>
      <c r="I298" s="15">
        <f t="shared" si="9"/>
        <v>61</v>
      </c>
    </row>
    <row r="299" spans="1:9" x14ac:dyDescent="0.25">
      <c r="A299" s="15">
        <v>282</v>
      </c>
      <c r="B299" s="15">
        <v>75</v>
      </c>
      <c r="C299" s="15">
        <v>0.6</v>
      </c>
      <c r="D299" s="15">
        <v>1</v>
      </c>
      <c r="E299" s="15">
        <v>12.3</v>
      </c>
      <c r="F299" s="15" t="s">
        <v>51</v>
      </c>
      <c r="G299" s="15">
        <f t="shared" si="8"/>
        <v>1</v>
      </c>
      <c r="H299" s="18">
        <v>124</v>
      </c>
      <c r="I299" s="15">
        <f t="shared" si="9"/>
        <v>49</v>
      </c>
    </row>
    <row r="300" spans="1:9" x14ac:dyDescent="0.25">
      <c r="A300" s="15">
        <v>283</v>
      </c>
      <c r="B300" s="15">
        <v>75</v>
      </c>
      <c r="C300" s="15">
        <v>0.6</v>
      </c>
      <c r="D300" s="15">
        <v>1</v>
      </c>
      <c r="E300" s="15">
        <v>12.3</v>
      </c>
      <c r="F300" s="15" t="s">
        <v>52</v>
      </c>
      <c r="G300" s="15">
        <f t="shared" si="8"/>
        <v>0</v>
      </c>
      <c r="H300" s="18">
        <v>146</v>
      </c>
      <c r="I300" s="15">
        <f t="shared" si="9"/>
        <v>71</v>
      </c>
    </row>
    <row r="301" spans="1:9" x14ac:dyDescent="0.25">
      <c r="A301" s="15">
        <v>284</v>
      </c>
      <c r="B301" s="15">
        <v>75</v>
      </c>
      <c r="C301" s="15">
        <v>0.6</v>
      </c>
      <c r="D301" s="15">
        <v>1</v>
      </c>
      <c r="E301" s="15">
        <v>12.3</v>
      </c>
      <c r="F301" s="15" t="s">
        <v>51</v>
      </c>
      <c r="G301" s="15">
        <f t="shared" si="8"/>
        <v>1</v>
      </c>
      <c r="H301" s="18">
        <v>127</v>
      </c>
      <c r="I301" s="15">
        <f t="shared" si="9"/>
        <v>52</v>
      </c>
    </row>
    <row r="302" spans="1:9" x14ac:dyDescent="0.25">
      <c r="A302" s="15">
        <v>285</v>
      </c>
      <c r="B302" s="15">
        <v>75</v>
      </c>
      <c r="C302" s="15">
        <v>0.6</v>
      </c>
      <c r="D302" s="15">
        <v>1</v>
      </c>
      <c r="E302" s="15">
        <v>12.3</v>
      </c>
      <c r="F302" s="15" t="s">
        <v>52</v>
      </c>
      <c r="G302" s="15">
        <f t="shared" si="8"/>
        <v>0</v>
      </c>
      <c r="H302" s="18">
        <v>131</v>
      </c>
      <c r="I302" s="15">
        <f t="shared" si="9"/>
        <v>56</v>
      </c>
    </row>
    <row r="303" spans="1:9" x14ac:dyDescent="0.25">
      <c r="A303" s="15">
        <v>286</v>
      </c>
      <c r="B303" s="15">
        <v>75</v>
      </c>
      <c r="C303" s="15">
        <v>0.6</v>
      </c>
      <c r="D303" s="15">
        <v>1</v>
      </c>
      <c r="E303" s="15">
        <v>12.4</v>
      </c>
      <c r="F303" s="15" t="s">
        <v>51</v>
      </c>
      <c r="G303" s="15">
        <f t="shared" si="8"/>
        <v>1</v>
      </c>
      <c r="H303" s="18">
        <v>133</v>
      </c>
      <c r="I303" s="15">
        <f t="shared" si="9"/>
        <v>58</v>
      </c>
    </row>
    <row r="304" spans="1:9" x14ac:dyDescent="0.25">
      <c r="A304" s="15">
        <v>287</v>
      </c>
      <c r="B304" s="15">
        <v>75</v>
      </c>
      <c r="C304" s="15">
        <v>0.6</v>
      </c>
      <c r="D304" s="15">
        <v>1</v>
      </c>
      <c r="E304" s="15">
        <v>12.3</v>
      </c>
      <c r="F304" s="15" t="s">
        <v>52</v>
      </c>
      <c r="G304" s="15">
        <f t="shared" si="8"/>
        <v>0</v>
      </c>
      <c r="H304" s="18">
        <v>135</v>
      </c>
      <c r="I304" s="15">
        <f t="shared" si="9"/>
        <v>60</v>
      </c>
    </row>
    <row r="305" spans="1:9" x14ac:dyDescent="0.25">
      <c r="A305" s="15">
        <v>288</v>
      </c>
      <c r="B305" s="15">
        <v>75</v>
      </c>
      <c r="C305" s="15">
        <v>0.6</v>
      </c>
      <c r="D305" s="15">
        <v>1</v>
      </c>
      <c r="E305" s="15">
        <v>12.3</v>
      </c>
      <c r="F305" s="15" t="s">
        <v>51</v>
      </c>
      <c r="G305" s="15">
        <f t="shared" si="8"/>
        <v>1</v>
      </c>
      <c r="H305" s="18">
        <v>125</v>
      </c>
      <c r="I305" s="15">
        <f t="shared" si="9"/>
        <v>50</v>
      </c>
    </row>
    <row r="306" spans="1:9" x14ac:dyDescent="0.25">
      <c r="A306" s="15">
        <v>289</v>
      </c>
      <c r="B306" s="15">
        <v>75</v>
      </c>
      <c r="C306" s="15">
        <v>0.4</v>
      </c>
      <c r="E306" s="15">
        <v>12.4</v>
      </c>
      <c r="F306" s="15" t="s">
        <v>51</v>
      </c>
      <c r="G306" s="15">
        <f t="shared" si="8"/>
        <v>1</v>
      </c>
      <c r="H306" s="18">
        <v>144</v>
      </c>
      <c r="I306" s="15">
        <f t="shared" si="9"/>
        <v>69</v>
      </c>
    </row>
    <row r="307" spans="1:9" x14ac:dyDescent="0.25">
      <c r="A307" s="15">
        <v>290</v>
      </c>
      <c r="B307" s="15">
        <v>75</v>
      </c>
      <c r="C307" s="15">
        <v>0.4</v>
      </c>
      <c r="E307" s="15">
        <v>12.3</v>
      </c>
      <c r="F307" s="15" t="s">
        <v>52</v>
      </c>
      <c r="G307" s="15">
        <f t="shared" si="8"/>
        <v>0</v>
      </c>
      <c r="H307" s="18">
        <v>147</v>
      </c>
      <c r="I307" s="15">
        <f t="shared" si="9"/>
        <v>72</v>
      </c>
    </row>
    <row r="308" spans="1:9" x14ac:dyDescent="0.25">
      <c r="A308" s="15">
        <v>291</v>
      </c>
      <c r="B308" s="15">
        <v>75</v>
      </c>
      <c r="C308" s="15">
        <v>0.4</v>
      </c>
      <c r="E308" s="15">
        <v>12.4</v>
      </c>
      <c r="F308" s="15" t="s">
        <v>51</v>
      </c>
      <c r="G308" s="15">
        <f t="shared" si="8"/>
        <v>1</v>
      </c>
      <c r="H308" s="18">
        <v>124</v>
      </c>
      <c r="I308" s="15">
        <f t="shared" si="9"/>
        <v>49</v>
      </c>
    </row>
    <row r="309" spans="1:9" x14ac:dyDescent="0.25">
      <c r="A309" s="15">
        <v>292</v>
      </c>
      <c r="B309" s="15">
        <v>75</v>
      </c>
      <c r="C309" s="15">
        <v>0.4</v>
      </c>
      <c r="E309" s="15">
        <v>12.3</v>
      </c>
      <c r="F309" s="15" t="s">
        <v>52</v>
      </c>
      <c r="G309" s="15">
        <f t="shared" si="8"/>
        <v>0</v>
      </c>
      <c r="H309" s="18">
        <v>142</v>
      </c>
      <c r="I309" s="15">
        <f t="shared" si="9"/>
        <v>67</v>
      </c>
    </row>
    <row r="310" spans="1:9" x14ac:dyDescent="0.25">
      <c r="A310" s="15">
        <v>293</v>
      </c>
      <c r="B310" s="15">
        <v>75</v>
      </c>
      <c r="C310" s="15">
        <v>0.4</v>
      </c>
      <c r="E310" s="15">
        <v>12.3</v>
      </c>
      <c r="F310" s="15" t="s">
        <v>51</v>
      </c>
      <c r="G310" s="15">
        <f t="shared" si="8"/>
        <v>1</v>
      </c>
      <c r="H310" s="18">
        <v>142</v>
      </c>
      <c r="I310" s="15">
        <f t="shared" si="9"/>
        <v>67</v>
      </c>
    </row>
    <row r="311" spans="1:9" x14ac:dyDescent="0.25">
      <c r="A311" s="15">
        <v>294</v>
      </c>
      <c r="B311" s="15">
        <v>75</v>
      </c>
      <c r="C311" s="15">
        <v>0.4</v>
      </c>
      <c r="E311" s="15">
        <v>12.3</v>
      </c>
      <c r="F311" s="15" t="s">
        <v>52</v>
      </c>
      <c r="G311" s="15">
        <f t="shared" si="8"/>
        <v>0</v>
      </c>
      <c r="H311" s="18">
        <v>156</v>
      </c>
      <c r="I311" s="15">
        <f t="shared" si="9"/>
        <v>81</v>
      </c>
    </row>
    <row r="312" spans="1:9" x14ac:dyDescent="0.25">
      <c r="A312" s="15">
        <v>295</v>
      </c>
      <c r="B312" s="15">
        <v>75</v>
      </c>
      <c r="C312" s="15">
        <v>0.4</v>
      </c>
      <c r="E312" s="15">
        <v>12.3</v>
      </c>
      <c r="F312" s="15" t="s">
        <v>51</v>
      </c>
      <c r="G312" s="15">
        <f t="shared" si="8"/>
        <v>1</v>
      </c>
      <c r="H312" s="18">
        <v>141</v>
      </c>
      <c r="I312" s="15">
        <f t="shared" si="9"/>
        <v>66</v>
      </c>
    </row>
    <row r="313" spans="1:9" x14ac:dyDescent="0.25">
      <c r="A313" s="15">
        <v>296</v>
      </c>
      <c r="B313" s="15">
        <v>75</v>
      </c>
      <c r="C313" s="15">
        <v>0.4</v>
      </c>
      <c r="E313" s="15">
        <v>12.3</v>
      </c>
      <c r="F313" s="15" t="s">
        <v>52</v>
      </c>
      <c r="G313" s="15">
        <f t="shared" si="8"/>
        <v>0</v>
      </c>
      <c r="H313" s="18">
        <v>135</v>
      </c>
      <c r="I313" s="15">
        <f t="shared" si="9"/>
        <v>60</v>
      </c>
    </row>
    <row r="314" spans="1:9" x14ac:dyDescent="0.25">
      <c r="A314" s="15">
        <v>297</v>
      </c>
      <c r="B314" s="15">
        <v>75</v>
      </c>
      <c r="C314" s="15">
        <v>0.4</v>
      </c>
      <c r="E314" s="15">
        <v>12.3</v>
      </c>
      <c r="F314" s="15" t="s">
        <v>51</v>
      </c>
      <c r="G314" s="15">
        <f t="shared" si="8"/>
        <v>1</v>
      </c>
      <c r="H314" s="18">
        <v>142</v>
      </c>
      <c r="I314" s="15">
        <f t="shared" si="9"/>
        <v>67</v>
      </c>
    </row>
    <row r="315" spans="1:9" x14ac:dyDescent="0.25">
      <c r="A315" s="15">
        <v>298</v>
      </c>
      <c r="B315" s="15">
        <v>75</v>
      </c>
      <c r="C315" s="15">
        <v>0.4</v>
      </c>
      <c r="E315" s="15">
        <v>12.3</v>
      </c>
      <c r="F315" s="15" t="s">
        <v>52</v>
      </c>
      <c r="G315" s="15">
        <f t="shared" si="8"/>
        <v>0</v>
      </c>
      <c r="H315" s="18">
        <v>161</v>
      </c>
      <c r="I315" s="15">
        <f t="shared" si="9"/>
        <v>86</v>
      </c>
    </row>
    <row r="316" spans="1:9" x14ac:dyDescent="0.25">
      <c r="A316" s="15">
        <v>299</v>
      </c>
      <c r="B316" s="15">
        <v>75</v>
      </c>
      <c r="C316" s="15">
        <v>0.4</v>
      </c>
      <c r="E316" s="15">
        <v>12.3</v>
      </c>
      <c r="F316" s="15" t="s">
        <v>51</v>
      </c>
      <c r="G316" s="15">
        <f t="shared" si="8"/>
        <v>1</v>
      </c>
      <c r="H316" s="18">
        <v>142</v>
      </c>
      <c r="I316" s="15">
        <f t="shared" si="9"/>
        <v>67</v>
      </c>
    </row>
    <row r="317" spans="1:9" x14ac:dyDescent="0.25">
      <c r="A317" s="15">
        <v>300</v>
      </c>
      <c r="B317" s="15">
        <v>75</v>
      </c>
      <c r="C317" s="15">
        <v>0.4</v>
      </c>
      <c r="E317" s="15">
        <v>12.3</v>
      </c>
      <c r="F317" s="15" t="s">
        <v>52</v>
      </c>
      <c r="G317" s="15">
        <f t="shared" si="8"/>
        <v>0</v>
      </c>
      <c r="H317" s="18">
        <v>141</v>
      </c>
      <c r="I317" s="15">
        <f t="shared" si="9"/>
        <v>66</v>
      </c>
    </row>
    <row r="318" spans="1:9" x14ac:dyDescent="0.25">
      <c r="A318" s="15">
        <v>301</v>
      </c>
      <c r="B318" s="15">
        <v>75</v>
      </c>
      <c r="C318" s="15">
        <v>0.4</v>
      </c>
      <c r="E318" s="15">
        <v>12.3</v>
      </c>
      <c r="F318" s="15" t="s">
        <v>51</v>
      </c>
      <c r="G318" s="15">
        <f t="shared" si="8"/>
        <v>1</v>
      </c>
      <c r="H318" s="18">
        <v>139</v>
      </c>
      <c r="I318" s="15">
        <f t="shared" si="9"/>
        <v>64</v>
      </c>
    </row>
    <row r="319" spans="1:9" x14ac:dyDescent="0.25">
      <c r="A319" s="15">
        <v>302</v>
      </c>
      <c r="B319" s="15">
        <v>75</v>
      </c>
      <c r="C319" s="15">
        <v>0.4</v>
      </c>
      <c r="E319" s="15">
        <v>12.3</v>
      </c>
      <c r="F319" s="15" t="s">
        <v>52</v>
      </c>
      <c r="G319" s="15">
        <f t="shared" si="8"/>
        <v>0</v>
      </c>
      <c r="H319" s="18">
        <v>153</v>
      </c>
      <c r="I319" s="15">
        <f t="shared" si="9"/>
        <v>78</v>
      </c>
    </row>
    <row r="320" spans="1:9" x14ac:dyDescent="0.25">
      <c r="A320" s="15">
        <v>303</v>
      </c>
      <c r="B320" s="15">
        <v>75</v>
      </c>
      <c r="C320" s="15">
        <v>0.4</v>
      </c>
      <c r="E320" s="15">
        <v>12.3</v>
      </c>
      <c r="F320" s="15" t="s">
        <v>51</v>
      </c>
      <c r="G320" s="15">
        <f t="shared" si="8"/>
        <v>1</v>
      </c>
      <c r="H320" s="18">
        <v>129</v>
      </c>
      <c r="I320" s="15">
        <f t="shared" si="9"/>
        <v>54</v>
      </c>
    </row>
    <row r="321" spans="1:9" x14ac:dyDescent="0.25">
      <c r="A321" s="15">
        <v>304</v>
      </c>
      <c r="B321" s="15">
        <v>75</v>
      </c>
      <c r="C321" s="15">
        <v>0.4</v>
      </c>
      <c r="E321" s="15">
        <v>12.3</v>
      </c>
      <c r="F321" s="15" t="s">
        <v>52</v>
      </c>
      <c r="G321" s="15">
        <f t="shared" si="8"/>
        <v>0</v>
      </c>
      <c r="H321" s="18">
        <v>153</v>
      </c>
      <c r="I321" s="15">
        <f t="shared" si="9"/>
        <v>78</v>
      </c>
    </row>
    <row r="322" spans="1:9" x14ac:dyDescent="0.25">
      <c r="A322" s="15">
        <v>305</v>
      </c>
      <c r="B322" s="15">
        <v>75</v>
      </c>
      <c r="C322" s="15">
        <v>0.4</v>
      </c>
      <c r="E322" s="15">
        <v>12.3</v>
      </c>
      <c r="F322" s="15" t="s">
        <v>51</v>
      </c>
      <c r="G322" s="15">
        <f t="shared" si="8"/>
        <v>1</v>
      </c>
      <c r="H322" s="18">
        <v>122</v>
      </c>
      <c r="I322" s="15">
        <f t="shared" si="9"/>
        <v>47</v>
      </c>
    </row>
    <row r="323" spans="1:9" x14ac:dyDescent="0.25">
      <c r="A323" s="15">
        <v>306</v>
      </c>
      <c r="B323" s="15">
        <v>75</v>
      </c>
      <c r="C323" s="15">
        <v>0.4</v>
      </c>
      <c r="E323" s="15">
        <v>12.3</v>
      </c>
      <c r="F323" s="15" t="s">
        <v>52</v>
      </c>
      <c r="G323" s="15">
        <f t="shared" si="8"/>
        <v>0</v>
      </c>
      <c r="H323" s="18">
        <v>132</v>
      </c>
      <c r="I323" s="15">
        <f t="shared" si="9"/>
        <v>57</v>
      </c>
    </row>
    <row r="324" spans="1:9" x14ac:dyDescent="0.25">
      <c r="A324" s="15">
        <v>307</v>
      </c>
      <c r="B324" s="15">
        <v>75</v>
      </c>
      <c r="C324" s="15">
        <v>0.4</v>
      </c>
      <c r="E324" s="15">
        <v>12.3</v>
      </c>
      <c r="F324" s="15" t="s">
        <v>51</v>
      </c>
      <c r="G324" s="15">
        <f t="shared" si="8"/>
        <v>1</v>
      </c>
      <c r="H324" s="18">
        <v>132</v>
      </c>
      <c r="I324" s="15">
        <f t="shared" si="9"/>
        <v>57</v>
      </c>
    </row>
    <row r="325" spans="1:9" x14ac:dyDescent="0.25">
      <c r="A325" s="15">
        <v>308</v>
      </c>
      <c r="B325" s="15">
        <v>75</v>
      </c>
      <c r="C325" s="15">
        <v>0.4</v>
      </c>
      <c r="E325" s="15">
        <v>12.3</v>
      </c>
      <c r="F325" s="15" t="s">
        <v>52</v>
      </c>
      <c r="G325" s="15">
        <f t="shared" si="8"/>
        <v>0</v>
      </c>
      <c r="H325" s="18">
        <v>160</v>
      </c>
      <c r="I325" s="15">
        <f t="shared" si="9"/>
        <v>85</v>
      </c>
    </row>
    <row r="326" spans="1:9" x14ac:dyDescent="0.25">
      <c r="A326" s="15">
        <v>309</v>
      </c>
      <c r="B326" s="15">
        <v>75</v>
      </c>
      <c r="C326" s="15">
        <v>0.4</v>
      </c>
      <c r="E326" s="15">
        <v>12.3</v>
      </c>
      <c r="F326" s="15" t="s">
        <v>51</v>
      </c>
      <c r="G326" s="15">
        <f t="shared" si="8"/>
        <v>1</v>
      </c>
      <c r="H326" s="18">
        <v>142</v>
      </c>
      <c r="I326" s="15">
        <f t="shared" si="9"/>
        <v>67</v>
      </c>
    </row>
    <row r="327" spans="1:9" x14ac:dyDescent="0.25">
      <c r="A327" s="15">
        <v>310</v>
      </c>
      <c r="B327" s="15">
        <v>75</v>
      </c>
      <c r="C327" s="15">
        <v>0.4</v>
      </c>
      <c r="E327" s="15">
        <v>12.3</v>
      </c>
      <c r="F327" s="15" t="s">
        <v>52</v>
      </c>
      <c r="G327" s="15">
        <f t="shared" si="8"/>
        <v>0</v>
      </c>
      <c r="H327" s="18">
        <v>138</v>
      </c>
      <c r="I327" s="15">
        <f t="shared" si="9"/>
        <v>63</v>
      </c>
    </row>
    <row r="328" spans="1:9" x14ac:dyDescent="0.25">
      <c r="A328" s="15">
        <v>311</v>
      </c>
      <c r="B328" s="15">
        <v>75</v>
      </c>
      <c r="C328" s="15">
        <v>0.4</v>
      </c>
      <c r="E328" s="15">
        <v>12.3</v>
      </c>
      <c r="F328" s="15" t="s">
        <v>51</v>
      </c>
      <c r="G328" s="15">
        <f t="shared" si="8"/>
        <v>1</v>
      </c>
      <c r="H328" s="18">
        <v>142</v>
      </c>
      <c r="I328" s="15">
        <f t="shared" si="9"/>
        <v>67</v>
      </c>
    </row>
    <row r="329" spans="1:9" x14ac:dyDescent="0.25">
      <c r="A329" s="15">
        <v>312</v>
      </c>
      <c r="B329" s="15">
        <v>75</v>
      </c>
      <c r="C329" s="15">
        <v>0.4</v>
      </c>
      <c r="E329" s="15">
        <v>12.3</v>
      </c>
      <c r="F329" s="15" t="s">
        <v>52</v>
      </c>
      <c r="G329" s="15">
        <f t="shared" si="8"/>
        <v>0</v>
      </c>
      <c r="H329" s="18">
        <v>149</v>
      </c>
      <c r="I329" s="15">
        <f t="shared" si="9"/>
        <v>74</v>
      </c>
    </row>
    <row r="330" spans="1:9" x14ac:dyDescent="0.25">
      <c r="A330" s="15">
        <v>313</v>
      </c>
      <c r="B330" s="15">
        <v>75</v>
      </c>
      <c r="C330" s="15">
        <v>0.4</v>
      </c>
      <c r="E330" s="15">
        <v>12.3</v>
      </c>
      <c r="F330" s="15" t="s">
        <v>51</v>
      </c>
      <c r="G330" s="15">
        <f t="shared" si="8"/>
        <v>1</v>
      </c>
      <c r="H330" s="18">
        <v>147</v>
      </c>
      <c r="I330" s="15">
        <f t="shared" si="9"/>
        <v>72</v>
      </c>
    </row>
    <row r="331" spans="1:9" x14ac:dyDescent="0.25">
      <c r="A331" s="15">
        <v>314</v>
      </c>
      <c r="B331" s="15">
        <v>75</v>
      </c>
      <c r="C331" s="15">
        <v>0.4</v>
      </c>
      <c r="E331" s="15">
        <v>12.2</v>
      </c>
      <c r="F331" s="15" t="s">
        <v>52</v>
      </c>
      <c r="G331" s="15">
        <f t="shared" si="8"/>
        <v>0</v>
      </c>
      <c r="H331" s="18">
        <v>157</v>
      </c>
      <c r="I331" s="15">
        <f t="shared" si="9"/>
        <v>82</v>
      </c>
    </row>
  </sheetData>
  <autoFilter ref="A17:S331" xr:uid="{F6ED09AE-E56C-4B19-B6E4-9032233BC6FE}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DA8AB-35F7-4B90-BA2D-354C8BB5D259}">
  <dimension ref="A1:Q32"/>
  <sheetViews>
    <sheetView workbookViewId="0">
      <selection activeCell="N2" sqref="N2"/>
    </sheetView>
  </sheetViews>
  <sheetFormatPr defaultRowHeight="15" x14ac:dyDescent="0.25"/>
  <cols>
    <col min="1" max="4" width="9.140625" style="4"/>
    <col min="5" max="6" width="9.140625" style="3"/>
    <col min="7" max="7" width="37.42578125" style="52" customWidth="1"/>
    <col min="8" max="11" width="9.140625" style="39"/>
    <col min="12" max="12" width="11.5703125" style="39" bestFit="1" customWidth="1"/>
    <col min="13" max="16384" width="9.140625" style="39"/>
  </cols>
  <sheetData>
    <row r="1" spans="1:17" s="48" customFormat="1" ht="45" x14ac:dyDescent="0.25">
      <c r="A1" s="49" t="s">
        <v>106</v>
      </c>
      <c r="B1" s="49" t="s">
        <v>108</v>
      </c>
      <c r="C1" s="49" t="s">
        <v>107</v>
      </c>
      <c r="D1" s="49" t="s">
        <v>28</v>
      </c>
      <c r="E1" s="50" t="s">
        <v>111</v>
      </c>
      <c r="F1" s="50" t="s">
        <v>110</v>
      </c>
      <c r="G1" s="51" t="s">
        <v>109</v>
      </c>
      <c r="K1" s="10"/>
      <c r="L1" s="56" t="s">
        <v>113</v>
      </c>
      <c r="M1" s="56" t="s">
        <v>114</v>
      </c>
      <c r="N1" s="57" t="s">
        <v>125</v>
      </c>
      <c r="O1" s="57" t="s">
        <v>126</v>
      </c>
      <c r="P1" s="57"/>
      <c r="Q1" s="48" t="s">
        <v>114</v>
      </c>
    </row>
    <row r="2" spans="1:17" x14ac:dyDescent="0.25">
      <c r="A2" s="4">
        <v>8</v>
      </c>
      <c r="B2" s="4">
        <v>0.6</v>
      </c>
      <c r="C2" s="4">
        <v>1</v>
      </c>
      <c r="D2" s="4">
        <v>12.7</v>
      </c>
      <c r="E2" s="3">
        <v>7.95</v>
      </c>
      <c r="F2" s="3">
        <v>0</v>
      </c>
      <c r="K2" s="39">
        <v>0.4</v>
      </c>
      <c r="L2" s="10">
        <f>AVERAGEIF($B:$B,$K2,$E:$E)</f>
        <v>17.02</v>
      </c>
      <c r="M2" cm="1">
        <f t="array" ref="M2">_xlfn.STDEV.S(_xlfn._xlws.FILTER($E:$E, $B:$B=$K2))</f>
        <v>3.5220448605888062</v>
      </c>
      <c r="N2" s="39">
        <f>480/L2</f>
        <v>28.2021151586369</v>
      </c>
      <c r="O2" s="39">
        <f>L2+M2</f>
        <v>20.542044860588806</v>
      </c>
      <c r="P2" s="39">
        <f>480/O2</f>
        <v>23.366709753463248</v>
      </c>
      <c r="Q2" s="39">
        <f>N2-P2</f>
        <v>4.8354054051736526</v>
      </c>
    </row>
    <row r="3" spans="1:17" x14ac:dyDescent="0.25">
      <c r="A3" s="4">
        <v>8</v>
      </c>
      <c r="B3" s="4">
        <v>0.6</v>
      </c>
      <c r="C3" s="4">
        <v>1</v>
      </c>
      <c r="D3" s="4">
        <v>12.7</v>
      </c>
      <c r="E3" s="3">
        <v>10.09</v>
      </c>
      <c r="F3" s="3">
        <v>1</v>
      </c>
      <c r="K3" s="10">
        <v>0.5</v>
      </c>
      <c r="L3" s="10">
        <f>AVERAGEIF($B:$B,$K3,$E:$E)</f>
        <v>11.141428571428573</v>
      </c>
      <c r="M3" cm="1">
        <f t="array" ref="M3">_xlfn.STDEV.S(_xlfn._xlws.FILTER($E:$E, $B:$B=$K3))</f>
        <v>1.7922372291954711</v>
      </c>
      <c r="N3" s="39">
        <f t="shared" ref="N3:N6" si="0">480/L3</f>
        <v>43.082446467495828</v>
      </c>
      <c r="O3" s="39">
        <f t="shared" ref="O3:O6" si="1">L3+M3</f>
        <v>12.933665800624045</v>
      </c>
      <c r="P3" s="39">
        <f t="shared" ref="P3:P6" si="2">480/O3</f>
        <v>37.112448040588781</v>
      </c>
      <c r="Q3" s="39">
        <f t="shared" ref="Q3:Q6" si="3">N3-P3</f>
        <v>5.969998426907047</v>
      </c>
    </row>
    <row r="4" spans="1:17" x14ac:dyDescent="0.25">
      <c r="A4" s="4">
        <v>8</v>
      </c>
      <c r="B4" s="4">
        <v>0.6</v>
      </c>
      <c r="C4" s="4">
        <v>1</v>
      </c>
      <c r="D4" s="4">
        <v>12.7</v>
      </c>
      <c r="E4" s="3">
        <v>12.03</v>
      </c>
      <c r="F4" s="3">
        <v>2</v>
      </c>
      <c r="K4" s="10">
        <v>0.6</v>
      </c>
      <c r="L4" s="10">
        <f>AVERAGEIF($B:$B,$K4,$E:$E)</f>
        <v>10.957142857142857</v>
      </c>
      <c r="M4" cm="1">
        <f t="array" ref="M4">_xlfn.STDEV.S(_xlfn._xlws.FILTER($E:$E, $B:$B=$K4))</f>
        <v>2.3981778797364357</v>
      </c>
      <c r="N4" s="39">
        <f t="shared" si="0"/>
        <v>43.807040417209905</v>
      </c>
      <c r="O4" s="39">
        <f t="shared" si="1"/>
        <v>13.355320736879293</v>
      </c>
      <c r="P4" s="39">
        <f t="shared" si="2"/>
        <v>35.940731747050542</v>
      </c>
      <c r="Q4" s="39">
        <f t="shared" si="3"/>
        <v>7.8663086701593627</v>
      </c>
    </row>
    <row r="5" spans="1:17" x14ac:dyDescent="0.25">
      <c r="A5" s="4">
        <v>8</v>
      </c>
      <c r="B5" s="4">
        <v>0.6</v>
      </c>
      <c r="C5" s="4">
        <v>1</v>
      </c>
      <c r="D5" s="4">
        <v>12.7</v>
      </c>
      <c r="E5" s="3">
        <v>14.74</v>
      </c>
      <c r="F5" s="3">
        <v>2</v>
      </c>
      <c r="K5" s="10">
        <v>0.75</v>
      </c>
      <c r="L5" s="10">
        <f>AVERAGEIF($B:$B,$K5,$E:$E)</f>
        <v>9.0457142857142863</v>
      </c>
      <c r="M5" cm="1">
        <f t="array" ref="M5">_xlfn.STDEV.S(_xlfn._xlws.FILTER($E:$E, $B:$B=$K5))</f>
        <v>2.3320438613860963</v>
      </c>
      <c r="N5" s="39">
        <f t="shared" si="0"/>
        <v>53.063802905874915</v>
      </c>
      <c r="O5" s="39">
        <f t="shared" si="1"/>
        <v>11.377758147100383</v>
      </c>
      <c r="P5" s="39">
        <f t="shared" si="2"/>
        <v>42.187572788434409</v>
      </c>
      <c r="Q5" s="39">
        <f t="shared" si="3"/>
        <v>10.876230117440507</v>
      </c>
    </row>
    <row r="6" spans="1:17" x14ac:dyDescent="0.25">
      <c r="A6" s="4">
        <v>8</v>
      </c>
      <c r="B6" s="4">
        <v>0.6</v>
      </c>
      <c r="C6" s="4">
        <v>1</v>
      </c>
      <c r="D6" s="4">
        <v>12.7</v>
      </c>
      <c r="E6" s="3">
        <v>13.07</v>
      </c>
      <c r="F6" s="3">
        <v>1</v>
      </c>
      <c r="K6" s="10">
        <v>1</v>
      </c>
      <c r="L6" s="10">
        <f>AVERAGEIF($B:$B,$K6,$E:$E)</f>
        <v>6.8100000000000005</v>
      </c>
      <c r="M6" cm="1">
        <f t="array" ref="M6">_xlfn.STDEV.S(_xlfn._xlws.FILTER($E:$E, $B:$B=$K6))</f>
        <v>1.0160380570300189</v>
      </c>
      <c r="N6" s="39">
        <f t="shared" si="0"/>
        <v>70.48458149779735</v>
      </c>
      <c r="O6" s="39">
        <f t="shared" si="1"/>
        <v>7.8260380570300194</v>
      </c>
      <c r="P6" s="39">
        <f t="shared" si="2"/>
        <v>61.333716562855557</v>
      </c>
      <c r="Q6" s="39">
        <f t="shared" si="3"/>
        <v>9.1508649349417936</v>
      </c>
    </row>
    <row r="7" spans="1:17" x14ac:dyDescent="0.25">
      <c r="A7" s="4">
        <v>8</v>
      </c>
      <c r="B7" s="4">
        <v>0.6</v>
      </c>
      <c r="C7" s="4">
        <v>1</v>
      </c>
      <c r="D7" s="4">
        <v>12.7</v>
      </c>
      <c r="E7" s="3">
        <v>9.42</v>
      </c>
      <c r="F7" s="3">
        <v>0</v>
      </c>
    </row>
    <row r="8" spans="1:17" x14ac:dyDescent="0.25">
      <c r="A8" s="4">
        <v>8</v>
      </c>
      <c r="B8" s="4">
        <v>0.6</v>
      </c>
      <c r="C8" s="4">
        <v>1</v>
      </c>
      <c r="D8" s="4">
        <v>12.6</v>
      </c>
      <c r="E8" s="3">
        <v>9.4</v>
      </c>
      <c r="F8" s="3">
        <v>1</v>
      </c>
    </row>
    <row r="9" spans="1:17" x14ac:dyDescent="0.25">
      <c r="A9" s="4">
        <v>8</v>
      </c>
      <c r="B9" s="4">
        <v>1</v>
      </c>
      <c r="C9" s="4">
        <v>1</v>
      </c>
      <c r="D9" s="4">
        <v>12.6</v>
      </c>
      <c r="E9" s="3">
        <v>6.25</v>
      </c>
      <c r="F9" s="3">
        <v>0</v>
      </c>
    </row>
    <row r="10" spans="1:17" x14ac:dyDescent="0.25">
      <c r="A10" s="4">
        <v>8</v>
      </c>
      <c r="B10" s="4">
        <v>1</v>
      </c>
      <c r="C10" s="4">
        <v>1</v>
      </c>
      <c r="D10" s="4">
        <v>12.6</v>
      </c>
      <c r="E10" s="3">
        <v>6.92</v>
      </c>
      <c r="F10" s="3">
        <v>0</v>
      </c>
    </row>
    <row r="11" spans="1:17" x14ac:dyDescent="0.25">
      <c r="A11" s="4">
        <v>8</v>
      </c>
      <c r="B11" s="4">
        <v>1</v>
      </c>
      <c r="C11" s="4">
        <v>1</v>
      </c>
      <c r="D11" s="4">
        <v>12.6</v>
      </c>
      <c r="E11" s="3">
        <v>5.65</v>
      </c>
      <c r="F11" s="3">
        <v>0</v>
      </c>
    </row>
    <row r="12" spans="1:17" x14ac:dyDescent="0.25">
      <c r="A12" s="4">
        <v>8</v>
      </c>
      <c r="B12" s="4">
        <v>1</v>
      </c>
      <c r="C12" s="4">
        <v>1</v>
      </c>
      <c r="D12" s="4">
        <v>12.6</v>
      </c>
      <c r="E12" s="3">
        <v>5.76</v>
      </c>
      <c r="F12" s="3">
        <v>0</v>
      </c>
    </row>
    <row r="13" spans="1:17" x14ac:dyDescent="0.25">
      <c r="A13" s="4">
        <v>8</v>
      </c>
      <c r="B13" s="4">
        <v>1</v>
      </c>
      <c r="C13" s="4">
        <v>1</v>
      </c>
      <c r="D13" s="4">
        <v>12.6</v>
      </c>
      <c r="E13" s="3">
        <v>8.3800000000000008</v>
      </c>
      <c r="F13" s="3">
        <v>1</v>
      </c>
    </row>
    <row r="14" spans="1:17" x14ac:dyDescent="0.25">
      <c r="A14" s="4">
        <v>8</v>
      </c>
      <c r="B14" s="4">
        <v>1</v>
      </c>
      <c r="C14" s="4">
        <v>1</v>
      </c>
      <c r="D14" s="4">
        <v>12.5</v>
      </c>
      <c r="E14" s="3">
        <v>7.78</v>
      </c>
      <c r="F14" s="3">
        <v>1</v>
      </c>
    </row>
    <row r="15" spans="1:17" x14ac:dyDescent="0.25">
      <c r="A15" s="4">
        <v>8</v>
      </c>
      <c r="B15" s="4">
        <v>1</v>
      </c>
      <c r="C15" s="4">
        <v>1</v>
      </c>
      <c r="D15" s="4">
        <v>12.5</v>
      </c>
      <c r="E15" s="3">
        <v>6.93</v>
      </c>
      <c r="F15" s="3">
        <v>0</v>
      </c>
    </row>
    <row r="16" spans="1:17" x14ac:dyDescent="0.25">
      <c r="A16" s="4">
        <v>8</v>
      </c>
      <c r="B16" s="4">
        <v>0.75</v>
      </c>
      <c r="C16" s="4">
        <v>1</v>
      </c>
      <c r="D16" s="4">
        <v>12.5</v>
      </c>
      <c r="E16" s="3">
        <v>6.08</v>
      </c>
      <c r="F16" s="3">
        <v>0</v>
      </c>
    </row>
    <row r="17" spans="1:7" x14ac:dyDescent="0.25">
      <c r="A17" s="4">
        <v>8</v>
      </c>
      <c r="B17" s="4">
        <v>0.75</v>
      </c>
      <c r="C17" s="4">
        <v>1</v>
      </c>
      <c r="D17" s="4">
        <v>12.5</v>
      </c>
      <c r="E17" s="3">
        <v>8.02</v>
      </c>
      <c r="F17" s="3">
        <v>1</v>
      </c>
    </row>
    <row r="18" spans="1:7" x14ac:dyDescent="0.25">
      <c r="A18" s="4">
        <v>8</v>
      </c>
      <c r="B18" s="4">
        <v>0.75</v>
      </c>
      <c r="C18" s="4">
        <v>1</v>
      </c>
      <c r="D18" s="4">
        <v>12.5</v>
      </c>
      <c r="E18" s="3">
        <v>6.43</v>
      </c>
      <c r="F18" s="3">
        <v>0</v>
      </c>
    </row>
    <row r="19" spans="1:7" x14ac:dyDescent="0.25">
      <c r="A19" s="4">
        <v>8</v>
      </c>
      <c r="B19" s="4">
        <v>0.75</v>
      </c>
      <c r="C19" s="4">
        <v>1</v>
      </c>
      <c r="D19" s="4">
        <v>12.5</v>
      </c>
      <c r="E19" s="3">
        <v>11.79</v>
      </c>
      <c r="F19" s="3">
        <v>2</v>
      </c>
    </row>
    <row r="20" spans="1:7" x14ac:dyDescent="0.25">
      <c r="A20" s="4">
        <v>8</v>
      </c>
      <c r="B20" s="4">
        <v>0.75</v>
      </c>
      <c r="C20" s="4">
        <v>1</v>
      </c>
      <c r="D20" s="4">
        <v>12.5</v>
      </c>
      <c r="E20" s="3">
        <v>9.7799999999999994</v>
      </c>
      <c r="F20" s="3">
        <v>1</v>
      </c>
    </row>
    <row r="21" spans="1:7" x14ac:dyDescent="0.25">
      <c r="A21" s="4">
        <v>8</v>
      </c>
      <c r="B21" s="4">
        <v>0.75</v>
      </c>
      <c r="C21" s="4">
        <v>1</v>
      </c>
      <c r="D21" s="4">
        <v>12.5</v>
      </c>
      <c r="E21" s="3">
        <v>11.83</v>
      </c>
      <c r="F21" s="3">
        <v>1</v>
      </c>
    </row>
    <row r="22" spans="1:7" x14ac:dyDescent="0.25">
      <c r="A22" s="4">
        <v>8</v>
      </c>
      <c r="B22" s="4">
        <v>0.75</v>
      </c>
      <c r="C22" s="4">
        <v>1</v>
      </c>
      <c r="D22" s="4">
        <v>12.5</v>
      </c>
      <c r="E22" s="3">
        <v>9.39</v>
      </c>
      <c r="F22" s="3">
        <v>1</v>
      </c>
    </row>
    <row r="23" spans="1:7" x14ac:dyDescent="0.25">
      <c r="A23" s="4">
        <v>8</v>
      </c>
      <c r="B23" s="4">
        <v>0.4</v>
      </c>
      <c r="C23" s="4">
        <v>1</v>
      </c>
      <c r="D23" s="4">
        <v>12.5</v>
      </c>
      <c r="E23" s="3">
        <v>13.18</v>
      </c>
      <c r="F23" s="3">
        <v>1</v>
      </c>
      <c r="G23" s="52" t="s">
        <v>112</v>
      </c>
    </row>
    <row r="24" spans="1:7" x14ac:dyDescent="0.25">
      <c r="A24" s="4">
        <v>8</v>
      </c>
      <c r="B24" s="4">
        <v>0.4</v>
      </c>
      <c r="C24" s="4">
        <v>1</v>
      </c>
      <c r="D24" s="4">
        <v>12.5</v>
      </c>
      <c r="E24" s="3">
        <v>20.100000000000001</v>
      </c>
      <c r="F24" s="3">
        <v>2</v>
      </c>
      <c r="G24" s="52" t="s">
        <v>112</v>
      </c>
    </row>
    <row r="25" spans="1:7" x14ac:dyDescent="0.25">
      <c r="A25" s="4">
        <v>8</v>
      </c>
      <c r="B25" s="4">
        <v>0.4</v>
      </c>
      <c r="C25" s="4">
        <v>1</v>
      </c>
      <c r="D25" s="4">
        <v>12.5</v>
      </c>
      <c r="E25" s="3">
        <v>17.78</v>
      </c>
      <c r="F25" s="3">
        <v>2</v>
      </c>
      <c r="G25" s="52" t="s">
        <v>112</v>
      </c>
    </row>
    <row r="26" spans="1:7" x14ac:dyDescent="0.25">
      <c r="A26" s="4">
        <v>8</v>
      </c>
      <c r="B26" s="4">
        <v>0.5</v>
      </c>
      <c r="C26" s="4">
        <v>1</v>
      </c>
      <c r="D26" s="4">
        <v>12.4</v>
      </c>
      <c r="E26" s="3">
        <v>10.17</v>
      </c>
      <c r="F26" s="3">
        <v>0</v>
      </c>
    </row>
    <row r="27" spans="1:7" x14ac:dyDescent="0.25">
      <c r="A27" s="4">
        <v>8</v>
      </c>
      <c r="B27" s="4">
        <v>0.5</v>
      </c>
      <c r="C27" s="4">
        <v>1</v>
      </c>
      <c r="D27" s="4">
        <v>12.4</v>
      </c>
      <c r="E27" s="3">
        <v>9.0500000000000007</v>
      </c>
      <c r="F27" s="3">
        <v>0</v>
      </c>
    </row>
    <row r="28" spans="1:7" x14ac:dyDescent="0.25">
      <c r="A28" s="4">
        <v>8</v>
      </c>
      <c r="B28" s="4">
        <v>0.5</v>
      </c>
      <c r="C28" s="4">
        <v>1</v>
      </c>
      <c r="D28" s="4">
        <v>12.4</v>
      </c>
      <c r="E28" s="3">
        <v>12.41</v>
      </c>
      <c r="F28" s="3">
        <v>2</v>
      </c>
    </row>
    <row r="29" spans="1:7" x14ac:dyDescent="0.25">
      <c r="A29" s="4">
        <v>8</v>
      </c>
      <c r="B29" s="4">
        <v>0.5</v>
      </c>
      <c r="C29" s="4">
        <v>1</v>
      </c>
      <c r="D29" s="4">
        <v>12.4</v>
      </c>
      <c r="E29" s="3">
        <v>14.09</v>
      </c>
      <c r="F29" s="3">
        <v>1</v>
      </c>
    </row>
    <row r="30" spans="1:7" x14ac:dyDescent="0.25">
      <c r="A30" s="4">
        <v>8</v>
      </c>
      <c r="B30" s="4">
        <v>0.5</v>
      </c>
      <c r="C30" s="4">
        <v>1</v>
      </c>
      <c r="D30" s="4">
        <v>12.4</v>
      </c>
      <c r="E30" s="3">
        <v>9.89</v>
      </c>
      <c r="F30" s="3">
        <v>0</v>
      </c>
    </row>
    <row r="31" spans="1:7" x14ac:dyDescent="0.25">
      <c r="A31" s="4">
        <v>8</v>
      </c>
      <c r="B31" s="4">
        <v>0.5</v>
      </c>
      <c r="C31" s="4">
        <v>1</v>
      </c>
      <c r="D31" s="4">
        <v>12.4</v>
      </c>
      <c r="E31" s="3">
        <v>10.17</v>
      </c>
      <c r="F31" s="3">
        <v>0</v>
      </c>
    </row>
    <row r="32" spans="1:7" x14ac:dyDescent="0.25">
      <c r="A32" s="4">
        <v>8</v>
      </c>
      <c r="B32" s="4">
        <v>0.5</v>
      </c>
      <c r="C32" s="4">
        <v>1</v>
      </c>
      <c r="D32" s="4">
        <v>12.4</v>
      </c>
      <c r="E32" s="3">
        <v>12.21</v>
      </c>
      <c r="F32" s="3">
        <v>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F652A-E5E7-49FD-81C7-54888FFB9D2C}">
  <dimension ref="A1:V7"/>
  <sheetViews>
    <sheetView tabSelected="1" topLeftCell="A8" workbookViewId="0">
      <selection activeCell="M30" sqref="M30"/>
    </sheetView>
  </sheetViews>
  <sheetFormatPr defaultRowHeight="15" x14ac:dyDescent="0.25"/>
  <cols>
    <col min="1" max="1" width="9.28515625" style="59" bestFit="1" customWidth="1"/>
    <col min="2" max="2" width="11.5703125" style="59" customWidth="1"/>
    <col min="3" max="3" width="9.28515625" style="59" customWidth="1"/>
    <col min="4" max="5" width="9.28515625" style="59" bestFit="1" customWidth="1"/>
    <col min="6" max="6" width="9.140625" style="62"/>
    <col min="7" max="16384" width="9.140625" style="59"/>
  </cols>
  <sheetData>
    <row r="1" spans="1:22" s="57" customFormat="1" ht="52.5" customHeight="1" x14ac:dyDescent="0.25">
      <c r="A1" s="57" t="s">
        <v>116</v>
      </c>
      <c r="B1" s="57" t="s">
        <v>113</v>
      </c>
      <c r="C1" s="57" t="s">
        <v>117</v>
      </c>
      <c r="D1" s="57" t="s">
        <v>115</v>
      </c>
      <c r="E1" s="57" t="s">
        <v>118</v>
      </c>
      <c r="F1" s="60" t="s">
        <v>120</v>
      </c>
      <c r="G1" s="57" t="s">
        <v>121</v>
      </c>
      <c r="H1" s="64" t="s">
        <v>123</v>
      </c>
      <c r="I1" s="64"/>
      <c r="J1" s="64"/>
      <c r="K1" s="64"/>
      <c r="L1" s="64"/>
      <c r="M1" s="64"/>
      <c r="N1" s="64"/>
      <c r="O1" s="64"/>
      <c r="P1" s="64" t="s">
        <v>124</v>
      </c>
      <c r="Q1" s="64"/>
      <c r="R1" s="64"/>
      <c r="S1" s="64"/>
      <c r="T1" s="64"/>
      <c r="V1" s="50" t="s">
        <v>122</v>
      </c>
    </row>
    <row r="2" spans="1:22" s="57" customFormat="1" x14ac:dyDescent="0.25">
      <c r="A2" s="57" t="s">
        <v>4</v>
      </c>
      <c r="B2" s="57" t="s">
        <v>119</v>
      </c>
      <c r="C2" s="57" t="s">
        <v>119</v>
      </c>
      <c r="D2" s="57" t="s">
        <v>12</v>
      </c>
      <c r="E2" s="57" t="s">
        <v>12</v>
      </c>
      <c r="F2" s="60"/>
      <c r="G2" s="57" t="s">
        <v>119</v>
      </c>
      <c r="H2" s="57">
        <v>4</v>
      </c>
      <c r="I2" s="57">
        <v>5</v>
      </c>
      <c r="J2" s="57">
        <v>6</v>
      </c>
      <c r="K2" s="57">
        <v>7</v>
      </c>
      <c r="L2" s="57">
        <v>8</v>
      </c>
      <c r="M2" s="57">
        <v>9</v>
      </c>
      <c r="N2" s="57">
        <v>10</v>
      </c>
      <c r="O2" s="57">
        <v>11</v>
      </c>
      <c r="P2" s="57">
        <v>4</v>
      </c>
      <c r="Q2" s="57">
        <v>5</v>
      </c>
      <c r="R2" s="57">
        <v>6</v>
      </c>
      <c r="S2" s="57">
        <v>7</v>
      </c>
      <c r="T2" s="57">
        <v>8</v>
      </c>
      <c r="V2" s="63">
        <v>12</v>
      </c>
    </row>
    <row r="3" spans="1:22" x14ac:dyDescent="0.25">
      <c r="A3" s="58">
        <v>0.4</v>
      </c>
      <c r="B3" s="58">
        <v>28.2021151586369</v>
      </c>
      <c r="C3" s="59">
        <v>4.8354054051736526</v>
      </c>
      <c r="D3" s="59">
        <v>67.769230769230774</v>
      </c>
      <c r="E3" s="59">
        <v>10.207086527732368</v>
      </c>
      <c r="F3" s="61">
        <f>_xlfn.NORM.DIST(21.385, 0, E3, TRUE) - _xlfn.NORM.DIST(-21.385, 0, E3, TRUE)</f>
        <v>0.96383905423860639</v>
      </c>
      <c r="G3">
        <f>F3*B3</f>
        <v>27.182300002028853</v>
      </c>
      <c r="H3" s="59">
        <f>1 - _xlfn.NORM.DIST(H$2 - 0.5, ($B3/60)*$V$2*$F3, SQRT((($B3/60)*$V$2*$F3*(1-$F3)) + (($C3/60)*$V$2*$F3)^2), TRUE)</f>
        <v>0.9696770380530364</v>
      </c>
      <c r="I3" s="59">
        <f>1 - _xlfn.NORM.DIST(I$2 - 0.5, ($B3/60)*$V$2*$F3, SQRT((($B3/60)*$V$2*$F3*(1-$F3)) + (($C3/60)*$V$2*$F3)^2), TRUE)</f>
        <v>0.8178639838723013</v>
      </c>
      <c r="J3" s="59">
        <f>1 - _xlfn.NORM.DIST(J$2 - 0.5, ($B3/60)*$V$2*$F3, SQRT((($B3/60)*$V$2*$F3*(1-$F3)) + (($C3/60)*$V$2*$F3)^2), TRUE)</f>
        <v>0.47545725518320481</v>
      </c>
      <c r="K3" s="59">
        <f>1 - _xlfn.NORM.DIST(K$2 - 0.5, ($B3/60)*$V$2*$F3, SQRT((($B3/60)*$V$2*$F3*(1-$F3)) + (($C3/60)*$V$2*$F3)^2), TRUE)</f>
        <v>0.15141778534535955</v>
      </c>
      <c r="L3" s="59">
        <f>1 - _xlfn.NORM.DIST(L$2 - 0.5, ($B3/60)*$V$2*$F3, SQRT((($B3/60)*$V$2*$F3*(1-$F3)) + (($C3/60)*$V$2*$F3)^2), TRUE)</f>
        <v>2.2794174302502523E-2</v>
      </c>
      <c r="M3" s="59">
        <f>1 - _xlfn.NORM.DIST(M$2 - 0.5, ($B3/60)*$V$2*$F3, SQRT((($B3/60)*$V$2*$F3*(1-$F3)) + (($C3/60)*$V$2*$F3)^2), TRUE)</f>
        <v>1.4987304482405595E-3</v>
      </c>
      <c r="N3" s="59">
        <f>1 - _xlfn.NORM.DIST(N$2 - 0.5, ($B3/60)*$V$2*$F3, SQRT((($B3/60)*$V$2*$F3*(1-$F3)) + (($C3/60)*$V$2*$F3)^2), TRUE)</f>
        <v>4.1285714419192487E-5</v>
      </c>
      <c r="O3" s="59">
        <f>1 - _xlfn.NORM.DIST(O$2 - 0.5, ($B3/60)*$V$2*$F3, SQRT((($B3/60)*$V$2*$F3*(1-$F3)) + (($C3/60)*$V$2*$F3)^2), TRUE)</f>
        <v>4.6565217448613083E-7</v>
      </c>
      <c r="P3" s="59">
        <f>IF(P$2 &gt; 8, 0, 1 - _xlfn.NORM.DIST(P$2 - 0.5, MIN(8, ($B3/60)*$V$2)*$F3, SQRT(MIN(8, ($B3/60)*$V$2)*$F3*(1-$F3) + (($C3/60)*$V$2 * _xlfn.NORM.DIST(8, ($B3/60)*$V$2, ($C3/60)*$V$2, TRUE) * $F3)^2), TRUE))</f>
        <v>0.97044446881937951</v>
      </c>
      <c r="Q3" s="59">
        <f t="shared" ref="Q3:T7" si="0">IF(Q$2 &gt; 8, 0, 1 - _xlfn.NORM.DIST(Q$2 - 0.5, MIN(8, ($B3/60)*$V$2)*$F3, SQRT(MIN(8, ($B3/60)*$V$2)*$F3*(1-$F3) + (($C3/60)*$V$2 * _xlfn.NORM.DIST(8, ($B3/60)*$V$2, ($C3/60)*$V$2, TRUE) * $F3)^2), TRUE))</f>
        <v>0.81930473013074911</v>
      </c>
      <c r="R3" s="59">
        <f t="shared" si="0"/>
        <v>0.4753096396248111</v>
      </c>
      <c r="S3" s="59">
        <f t="shared" si="0"/>
        <v>0.14996654820944189</v>
      </c>
      <c r="T3" s="59">
        <f t="shared" si="0"/>
        <v>2.2150867841099653E-2</v>
      </c>
    </row>
    <row r="4" spans="1:22" x14ac:dyDescent="0.25">
      <c r="A4" s="58">
        <v>0.5</v>
      </c>
      <c r="B4" s="58">
        <v>43.082446467495828</v>
      </c>
      <c r="C4" s="59">
        <v>5.969998426907047</v>
      </c>
      <c r="D4" s="59">
        <v>68.5311004784689</v>
      </c>
      <c r="E4" s="59">
        <v>10.788626455779969</v>
      </c>
      <c r="F4" s="61">
        <f>_xlfn.NORM.DIST(21.385, 0, E4, TRUE) - _xlfn.NORM.DIST(-21.385, 0, E4, TRUE)</f>
        <v>0.95254090598405416</v>
      </c>
      <c r="G4">
        <f>F4*B4</f>
        <v>41.037792590157991</v>
      </c>
      <c r="H4" s="59">
        <f>1 - _xlfn.NORM.DIST(H$2 - 0.5, ($B4/60)*$V$2*$F4, SQRT((($B4/60)*$V$2*$F4*(1-$F4)) + (($C4/60)*$V$2*$F4)^2), TRUE)</f>
        <v>0.9998575557358953</v>
      </c>
      <c r="I4" s="59">
        <f>1 - _xlfn.NORM.DIST(I$2 - 0.5, ($B4/60)*$V$2*$F4, SQRT((($B4/60)*$V$2*$F4*(1-$F4)) + (($C4/60)*$V$2*$F4)^2), TRUE)</f>
        <v>0.99786738849815315</v>
      </c>
      <c r="J4" s="59">
        <f>1 - _xlfn.NORM.DIST(J$2 - 0.5, ($B4/60)*$V$2*$F4, SQRT((($B4/60)*$V$2*$F4*(1-$F4)) + (($C4/60)*$V$2*$F4)^2), TRUE)</f>
        <v>0.98155740535277414</v>
      </c>
      <c r="K4" s="59">
        <f>1 - _xlfn.NORM.DIST(K$2 - 0.5, ($B4/60)*$V$2*$F4, SQRT((($B4/60)*$V$2*$F4*(1-$F4)) + (($C4/60)*$V$2*$F4)^2), TRUE)</f>
        <v>0.90594912479252632</v>
      </c>
      <c r="L4" s="59">
        <f>1 - _xlfn.NORM.DIST(L$2 - 0.5, ($B4/60)*$V$2*$F4, SQRT((($B4/60)*$V$2*$F4*(1-$F4)) + (($C4/60)*$V$2*$F4)^2), TRUE)</f>
        <v>0.70726017866051094</v>
      </c>
      <c r="M4" s="59">
        <f>1 - _xlfn.NORM.DIST(M$2 - 0.5, ($B4/60)*$V$2*$F4, SQRT((($B4/60)*$V$2*$F4*(1-$F4)) + (($C4/60)*$V$2*$F4)^2), TRUE)</f>
        <v>0.41082669937819594</v>
      </c>
      <c r="N4" s="59">
        <f>1 - _xlfn.NORM.DIST(N$2 - 0.5, ($B4/60)*$V$2*$F4, SQRT((($B4/60)*$V$2*$F4*(1-$F4)) + (($C4/60)*$V$2*$F4)^2), TRUE)</f>
        <v>0.15956772632623006</v>
      </c>
      <c r="O4" s="59">
        <f>1 - _xlfn.NORM.DIST(O$2 - 0.5, ($B4/60)*$V$2*$F4, SQRT((($B4/60)*$V$2*$F4*(1-$F4)) + (($C4/60)*$V$2*$F4)^2), TRUE)</f>
        <v>3.8609655724096026E-2</v>
      </c>
      <c r="P4" s="59">
        <f>IF(P$2 &gt; 8, 0, 1 - _xlfn.NORM.DIST(P$2 - 0.5, MIN(8, ($B4/60)*$V$2)*$F4, SQRT(MIN(8, ($B4/60)*$V$2)*$F4*(1-$F4) + (($C4/60)*$V$2 * _xlfn.NORM.DIST(8, ($B4/60)*$V$2, ($C4/60)*$V$2, TRUE) * $F4)^2), TRUE))</f>
        <v>0.99999999862221001</v>
      </c>
      <c r="Q4" s="59">
        <f t="shared" si="0"/>
        <v>0.99999664296948976</v>
      </c>
      <c r="R4" s="59">
        <f t="shared" si="0"/>
        <v>0.9988917672105494</v>
      </c>
      <c r="S4" s="59">
        <f t="shared" si="0"/>
        <v>0.94701825281219409</v>
      </c>
      <c r="T4" s="59">
        <f t="shared" si="0"/>
        <v>0.56892161146072384</v>
      </c>
    </row>
    <row r="5" spans="1:22" x14ac:dyDescent="0.25">
      <c r="A5" s="58">
        <v>0.6</v>
      </c>
      <c r="B5" s="58">
        <v>43.807040417209905</v>
      </c>
      <c r="C5" s="59">
        <v>7.8663086701593627</v>
      </c>
      <c r="D5" s="59">
        <v>65.115384615384613</v>
      </c>
      <c r="E5" s="59">
        <v>12.113882690787202</v>
      </c>
      <c r="F5" s="61">
        <f>_xlfn.NORM.DIST(21.385, 0, E5, TRUE) - _xlfn.NORM.DIST(-21.385, 0, E5, TRUE)</f>
        <v>0.92249167226534112</v>
      </c>
      <c r="G5">
        <f>F5*B5</f>
        <v>40.411629971467349</v>
      </c>
      <c r="H5" s="59">
        <f>1 - _xlfn.NORM.DIST(H$2 - 0.5, ($B5/60)*$V$2*$F5, SQRT((($B5/60)*$V$2*$F5*(1-$F5)) + (($C5/60)*$V$2*$F5)^2), TRUE)</f>
        <v>0.99721382589622964</v>
      </c>
      <c r="I5" s="59">
        <f>1 - _xlfn.NORM.DIST(I$2 - 0.5, ($B5/60)*$V$2*$F5, SQRT((($B5/60)*$V$2*$F5*(1-$F5)) + (($C5/60)*$V$2*$F5)^2), TRUE)</f>
        <v>0.98488331019823538</v>
      </c>
      <c r="J5" s="59">
        <f>1 - _xlfn.NORM.DIST(J$2 - 0.5, ($B5/60)*$V$2*$F5, SQRT((($B5/60)*$V$2*$F5*(1-$F5)) + (($C5/60)*$V$2*$F5)^2), TRUE)</f>
        <v>0.94086774842981069</v>
      </c>
      <c r="K5" s="59">
        <f>1 - _xlfn.NORM.DIST(K$2 - 0.5, ($B5/60)*$V$2*$F5, SQRT((($B5/60)*$V$2*$F5*(1-$F5)) + (($C5/60)*$V$2*$F5)^2), TRUE)</f>
        <v>0.83076181147788397</v>
      </c>
      <c r="L5" s="59">
        <f>1 - _xlfn.NORM.DIST(L$2 - 0.5, ($B5/60)*$V$2*$F5, SQRT((($B5/60)*$V$2*$F5*(1-$F5)) + (($C5/60)*$V$2*$F5)^2), TRUE)</f>
        <v>0.63767851909881701</v>
      </c>
      <c r="M5" s="59">
        <f>1 - _xlfn.NORM.DIST(M$2 - 0.5, ($B5/60)*$V$2*$F5, SQRT((($B5/60)*$V$2*$F5*(1-$F5)) + (($C5/60)*$V$2*$F5)^2), TRUE)</f>
        <v>0.40026578640053534</v>
      </c>
      <c r="N5" s="59">
        <f>1 - _xlfn.NORM.DIST(N$2 - 0.5, ($B5/60)*$V$2*$F5, SQRT((($B5/60)*$V$2*$F5*(1-$F5)) + (($C5/60)*$V$2*$F5)^2), TRUE)</f>
        <v>0.19556253053496242</v>
      </c>
      <c r="O5" s="59">
        <f>1 - _xlfn.NORM.DIST(O$2 - 0.5, ($B5/60)*$V$2*$F5, SQRT((($B5/60)*$V$2*$F5*(1-$F5)) + (($C5/60)*$V$2*$F5)^2), TRUE)</f>
        <v>7.1802330189202901E-2</v>
      </c>
      <c r="P5" s="59">
        <f t="shared" ref="P5:P7" si="1">IF(P$2 &gt; 8, 0, 1 - _xlfn.NORM.DIST(P$2 - 0.5, MIN(8, ($B5/60)*$V$2)*$F5, SQRT(MIN(8, ($B5/60)*$V$2)*$F5*(1-$F5) + (($C5/60)*$V$2 * _xlfn.NORM.DIST(8, ($B5/60)*$V$2, ($C5/60)*$V$2, TRUE) * $F5)^2), TRUE))</f>
        <v>0.99999441767274566</v>
      </c>
      <c r="Q5" s="59">
        <f t="shared" si="0"/>
        <v>0.99944486352628725</v>
      </c>
      <c r="R5" s="59">
        <f t="shared" si="0"/>
        <v>0.98335921560388095</v>
      </c>
      <c r="S5" s="59">
        <f t="shared" si="0"/>
        <v>0.84046203420457932</v>
      </c>
      <c r="T5" s="59">
        <f t="shared" si="0"/>
        <v>0.44592929414890059</v>
      </c>
    </row>
    <row r="6" spans="1:22" x14ac:dyDescent="0.25">
      <c r="A6" s="58">
        <v>0.75</v>
      </c>
      <c r="B6" s="58">
        <v>53.063802905874915</v>
      </c>
      <c r="C6" s="59">
        <v>10.876230117440507</v>
      </c>
      <c r="D6" s="59">
        <v>56.666666666666664</v>
      </c>
      <c r="E6" s="59">
        <v>14.803845654215872</v>
      </c>
      <c r="F6" s="61">
        <f>_xlfn.NORM.DIST(21.385, 0, E6, TRUE) - _xlfn.NORM.DIST(-21.385, 0, E6, TRUE)</f>
        <v>0.85141766323462797</v>
      </c>
      <c r="G6">
        <f>F6*B6</f>
        <v>45.179459072462883</v>
      </c>
      <c r="H6" s="59">
        <f>1 - _xlfn.NORM.DIST(H$2 - 0.5, ($B6/60)*$V$2*$F6, SQRT((($B6/60)*$V$2*$F6*(1-$F6)) + (($C6/60)*$V$2*$F6)^2), TRUE)</f>
        <v>0.99436173167040132</v>
      </c>
      <c r="I6" s="59">
        <f>1 - _xlfn.NORM.DIST(I$2 - 0.5, ($B6/60)*$V$2*$F6, SQRT((($B6/60)*$V$2*$F6*(1-$F6)) + (($C6/60)*$V$2*$F6)^2), TRUE)</f>
        <v>0.9810654333089136</v>
      </c>
      <c r="J6" s="59">
        <f>1 - _xlfn.NORM.DIST(J$2 - 0.5, ($B6/60)*$V$2*$F6, SQRT((($B6/60)*$V$2*$F6*(1-$F6)) + (($C6/60)*$V$2*$F6)^2), TRUE)</f>
        <v>0.947225394726251</v>
      </c>
      <c r="K6" s="59">
        <f>1 - _xlfn.NORM.DIST(K$2 - 0.5, ($B6/60)*$V$2*$F6, SQRT((($B6/60)*$V$2*$F6*(1-$F6)) + (($C6/60)*$V$2*$F6)^2), TRUE)</f>
        <v>0.87713518796685108</v>
      </c>
      <c r="L6" s="59">
        <f>1 - _xlfn.NORM.DIST(L$2 - 0.5, ($B6/60)*$V$2*$F6, SQRT((($B6/60)*$V$2*$F6*(1-$F6)) + (($C6/60)*$V$2*$F6)^2), TRUE)</f>
        <v>0.75898529465477549</v>
      </c>
      <c r="M6" s="59">
        <f>1 - _xlfn.NORM.DIST(M$2 - 0.5, ($B6/60)*$V$2*$F6, SQRT((($B6/60)*$V$2*$F6*(1-$F6)) + (($C6/60)*$V$2*$F6)^2), TRUE)</f>
        <v>0.59688800801258424</v>
      </c>
      <c r="N6" s="59">
        <f>1 - _xlfn.NORM.DIST(N$2 - 0.5, ($B6/60)*$V$2*$F6, SQRT((($B6/60)*$V$2*$F6*(1-$F6)) + (($C6/60)*$V$2*$F6)^2), TRUE)</f>
        <v>0.41588117688931692</v>
      </c>
      <c r="O6" s="59">
        <f>1 - _xlfn.NORM.DIST(O$2 - 0.5, ($B6/60)*$V$2*$F6, SQRT((($B6/60)*$V$2*$F6*(1-$F6)) + (($C6/60)*$V$2*$F6)^2), TRUE)</f>
        <v>0.25137028951317109</v>
      </c>
      <c r="P6" s="59">
        <f t="shared" si="1"/>
        <v>0.99935989518896995</v>
      </c>
      <c r="Q6" s="59">
        <f t="shared" si="0"/>
        <v>0.98770710064365752</v>
      </c>
      <c r="R6" s="59">
        <f t="shared" si="0"/>
        <v>0.89890183767130794</v>
      </c>
      <c r="S6" s="59">
        <f t="shared" si="0"/>
        <v>0.6189746047304393</v>
      </c>
      <c r="T6" s="59">
        <f t="shared" si="0"/>
        <v>0.25151132404853804</v>
      </c>
    </row>
    <row r="7" spans="1:22" x14ac:dyDescent="0.25">
      <c r="A7" s="58">
        <v>1</v>
      </c>
      <c r="B7" s="58">
        <v>70.48458149779735</v>
      </c>
      <c r="C7" s="59">
        <v>9.1508649349417936</v>
      </c>
      <c r="D7" s="59">
        <v>41.769230769230766</v>
      </c>
      <c r="E7" s="59">
        <v>18.084927851241634</v>
      </c>
      <c r="F7" s="61">
        <f>_xlfn.NORM.DIST(21.385, 0, E7, TRUE) - _xlfn.NORM.DIST(-21.385, 0, E7, TRUE)</f>
        <v>0.76298326735887789</v>
      </c>
      <c r="G7">
        <f>F7*B7</f>
        <v>53.778556289612531</v>
      </c>
      <c r="H7" s="59">
        <f>1 - _xlfn.NORM.DIST(H$2 - 0.5, ($B7/60)*$V$2*$F7, SQRT((($B7/60)*$V$2*$F7*(1-$F7)) + (($C7/60)*$V$2*$F7)^2), TRUE)</f>
        <v>0.99968767844300088</v>
      </c>
      <c r="I7" s="59">
        <f>1 - _xlfn.NORM.DIST(I$2 - 0.5, ($B7/60)*$V$2*$F7, SQRT((($B7/60)*$V$2*$F7*(1-$F7)) + (($C7/60)*$V$2*$F7)^2), TRUE)</f>
        <v>0.99840719297168368</v>
      </c>
      <c r="J7" s="59">
        <f>1 - _xlfn.NORM.DIST(J$2 - 0.5, ($B7/60)*$V$2*$F7, SQRT((($B7/60)*$V$2*$F7*(1-$F7)) + (($C7/60)*$V$2*$F7)^2), TRUE)</f>
        <v>0.99339002398426668</v>
      </c>
      <c r="K7" s="59">
        <f>1 - _xlfn.NORM.DIST(K$2 - 0.5, ($B7/60)*$V$2*$F7, SQRT((($B7/60)*$V$2*$F7*(1-$F7)) + (($C7/60)*$V$2*$F7)^2), TRUE)</f>
        <v>0.97759009132379082</v>
      </c>
      <c r="L7" s="59">
        <f>1 - _xlfn.NORM.DIST(L$2 - 0.5, ($B7/60)*$V$2*$F7, SQRT((($B7/60)*$V$2*$F7*(1-$F7)) + (($C7/60)*$V$2*$F7)^2), TRUE)</f>
        <v>0.93759515775908497</v>
      </c>
      <c r="M7" s="59">
        <f>1 - _xlfn.NORM.DIST(M$2 - 0.5, ($B7/60)*$V$2*$F7, SQRT((($B7/60)*$V$2*$F7*(1-$F7)) + (($C7/60)*$V$2*$F7)^2), TRUE)</f>
        <v>0.85621056380417648</v>
      </c>
      <c r="N7" s="59">
        <f>1 - _xlfn.NORM.DIST(N$2 - 0.5, ($B7/60)*$V$2*$F7, SQRT((($B7/60)*$V$2*$F7*(1-$F7)) + (($C7/60)*$V$2*$F7)^2), TRUE)</f>
        <v>0.72307507054919617</v>
      </c>
      <c r="O7" s="59">
        <f>1 - _xlfn.NORM.DIST(O$2 - 0.5, ($B7/60)*$V$2*$F7, SQRT((($B7/60)*$V$2*$F7*(1-$F7)) + (($C7/60)*$V$2*$F7)^2), TRUE)</f>
        <v>0.54797795069060573</v>
      </c>
      <c r="P7" s="59">
        <f>IF(P$2 &gt; 8, 0, 1 - _xlfn.NORM.DIST(P$2 - 0.5, MIN(8, ($B7/60)*$V$2)*$F7, SQRT(MIN(8, ($B7/60)*$V$2)*$F7*(1-$F7) + (($C7/60)*$V$2 * _xlfn.NORM.DIST(8, ($B7/60)*$V$2, ($C7/60)*$V$2, TRUE) * $F7)^2), TRUE))</f>
        <v>0.98480018096413346</v>
      </c>
      <c r="Q7" s="59">
        <f t="shared" si="0"/>
        <v>0.90880757311972948</v>
      </c>
      <c r="R7" s="59">
        <f t="shared" si="0"/>
        <v>0.69218449488142098</v>
      </c>
      <c r="S7" s="59">
        <f t="shared" si="0"/>
        <v>0.37094780135382543</v>
      </c>
      <c r="T7" s="59">
        <f>IF(T$2 &gt; 8, 0, 1 - _xlfn.NORM.DIST(T$2 - 0.5, MIN(8, ($B7/60)*$V$2)*$F7, SQRT(MIN(8, ($B7/60)*$V$2)*$F7*(1-$F7) + (($C7/60)*$V$2 * _xlfn.NORM.DIST(8, ($B7/60)*$V$2, ($C7/60)*$V$2, TRUE) * $F7)^2), TRUE))</f>
        <v>0.12287379711403668</v>
      </c>
    </row>
  </sheetData>
  <mergeCells count="2">
    <mergeCell ref="H1:O1"/>
    <mergeCell ref="P1:T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AngleFunction</vt:lpstr>
      <vt:lpstr>Function</vt:lpstr>
      <vt:lpstr>Std Dev</vt:lpstr>
      <vt:lpstr>Stat Calculator</vt:lpstr>
      <vt:lpstr>Interpolate</vt:lpstr>
      <vt:lpstr>Calibration</vt:lpstr>
      <vt:lpstr>Shooting</vt:lpstr>
      <vt:lpstr>ShootSpeed</vt:lpstr>
      <vt:lpstr>Data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Goodall</dc:creator>
  <cp:lastModifiedBy>Jim Goodall</cp:lastModifiedBy>
  <dcterms:created xsi:type="dcterms:W3CDTF">2025-03-01T21:55:31Z</dcterms:created>
  <dcterms:modified xsi:type="dcterms:W3CDTF">2026-03-06T11:47:38Z</dcterms:modified>
</cp:coreProperties>
</file>